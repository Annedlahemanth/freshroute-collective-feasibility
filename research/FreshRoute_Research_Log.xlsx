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6c20c60ae54c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024360f02acc4619"/>
    <x:sheet xmlns:r="http://schemas.openxmlformats.org/officeDocument/2006/relationships" name="Research Log" sheetId="2" r:id="Rcc16493e01ab4b8b"/>
    <x:sheet xmlns:r="http://schemas.openxmlformats.org/officeDocument/2006/relationships" name="Exclusions &amp; Cautions" sheetId="3" r:id="Rbc79313cc37b4cfc"/>
    <x:sheet xmlns:r="http://schemas.openxmlformats.org/officeDocument/2006/relationships" name="Source-to-Section Map" sheetId="4" r:id="R5395422e06ec4ea5"/>
    <x:sheet xmlns:r="http://schemas.openxmlformats.org/officeDocument/2006/relationships" name="Evidence Gaps" sheetId="5" r:id="Rcda3e124c62c4140"/>
    <x:sheet xmlns:r="http://schemas.openxmlformats.org/officeDocument/2006/relationships" name="Search Vocabulary" sheetId="6" r:id="Rb9575903fa314283"/>
    <x:sheet xmlns:r="http://schemas.openxmlformats.org/officeDocument/2006/relationships" name="Core References" sheetId="7" r:id="R16c23e0ff0d944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F6B6D"/>
      </x:patternFill>
    </x:fill>
    <x:fill>
      <x:patternFill patternType="solid">
        <x:fgColor rgb="FFF2F2F2"/>
      </x:patternFill>
    </x:fill>
  </x:fills>
  <x:borders count="2">
    <x:border/>
    <x:border/>
  </x:borders>
  <x:cellStyleXfs count="1">
    <x:xf numFmtId="0" fontId="0" fillId="0" borderId="0"/>
  </x:cellStyleXfs>
  <x:cellXfs count="6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/>
    </x:xf>
    <x:xf numFmtId="0" fontId="4" fillId="5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left"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/>
    </x:xf>
    <x:xf numFmtId="0" fontId="4" fillId="5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/>
    </x:xf>
    <x:xf numFmtId="0" fontId="3" fillId="2" borderId="1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5"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fc951d11264ab8" /><Relationship Type="http://schemas.openxmlformats.org/officeDocument/2006/relationships/theme" Target="/xl/theme/theme1.xml" Id="R081b538726264d52" /><Relationship Type="http://schemas.openxmlformats.org/officeDocument/2006/relationships/sharedStrings" Target="/xl/sharedStrings.xml" Id="Re172b833a1b14d47" /><Relationship Type="http://schemas.openxmlformats.org/officeDocument/2006/relationships/worksheet" Target="/xl/worksheets/sheet1.xml" Id="R024360f02acc4619" /><Relationship Type="http://schemas.openxmlformats.org/officeDocument/2006/relationships/worksheet" Target="/xl/worksheets/sheet2.xml" Id="Rcc16493e01ab4b8b" /><Relationship Type="http://schemas.openxmlformats.org/officeDocument/2006/relationships/worksheet" Target="/xl/worksheets/sheet3.xml" Id="Rbc79313cc37b4cfc" /><Relationship Type="http://schemas.openxmlformats.org/officeDocument/2006/relationships/worksheet" Target="/xl/worksheets/sheet4.xml" Id="R5395422e06ec4ea5" /><Relationship Type="http://schemas.openxmlformats.org/officeDocument/2006/relationships/worksheet" Target="/xl/worksheets/sheet5.xml" Id="Rcda3e124c62c4140" /><Relationship Type="http://schemas.openxmlformats.org/officeDocument/2006/relationships/worksheet" Target="/xl/worksheets/sheet6.xml" Id="Rb9575903fa314283" /><Relationship Type="http://schemas.openxmlformats.org/officeDocument/2006/relationships/worksheet" Target="/xl/worksheets/sheet7.xml" Id="R16c23e0ff0d9443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1b190d3913746c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Research-log use status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'Overview'!$D$13:$D$16</c:f>
              <c:strCache>
                <c:ptCount val="0"/>
              </c:strCache>
            </c:strRef>
          </c:cat>
          <c:val>
            <c:numRef>
              <c:f>'Overview'!$E$13:$E$16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1b190d3913746c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searchLogTable" displayName="ResearchLogTable" ref="A1:N22" headerRowCount="1" totalsRowCount="0" totalsRowShown="0">
  <x:tableColumns count="14">
    <x:tableColumn id="1" name="Log ID"/>
    <x:tableColumn id="2" name="Date"/>
    <x:tableColumn id="3" name="Stage"/>
    <x:tableColumn id="4" name="Search route / terms"/>
    <x:tableColumn id="5" name="Source reviewed"/>
    <x:tableColumn id="6" name="Source URL / DOI"/>
    <x:tableColumn id="7" name="Evidence type"/>
    <x:tableColumn id="8" name="Key point retained"/>
    <x:tableColumn id="9" name="Critical appraisal / limitation"/>
    <x:tableColumn id="10" name="Decision and use in FreshRoute"/>
    <x:tableColumn id="11" name="Use status"/>
    <x:tableColumn id="12" name="Final audit date"/>
    <x:tableColumn id="13" name="Supervisor notes"/>
    <x:tableColumn id="14" name="Follow-up / ac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clusionsTable" displayName="ExclusionsTable" ref="A1:E7" headerRowCount="1" totalsRowCount="0" totalsRowShown="0">
  <x:tableColumns count="5">
    <x:tableColumn id="1" name="ID"/>
    <x:tableColumn id="2" name="Evidence / source type"/>
    <x:tableColumn id="3" name="Decision and reason"/>
    <x:tableColumn id="4" name="Treatment in final project"/>
    <x:tableColumn id="5" name="Supervisor 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MapTable" displayName="SourceMapTable" ref="A1:E7" headerRowCount="1" totalsRowCount="0" totalsRowShown="0">
  <x:tableColumns count="5">
    <x:tableColumn id="1" name="Map ID"/>
    <x:tableColumn id="2" name="Paper area"/>
    <x:tableColumn id="3" name="Core sources"/>
    <x:tableColumn id="4" name="How the evidence is used"/>
    <x:tableColumn id="5" name="Supervisor 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videnceGapsTable" displayName="EvidenceGapsTable" ref="A1:F7" headerRowCount="1" totalsRowCount="0" totalsRowShown="0">
  <x:tableColumns count="6">
    <x:tableColumn id="1" name="Gap ID"/>
    <x:tableColumn id="2" name="Evidence gap"/>
    <x:tableColumn id="3" name="Current treatment"/>
    <x:tableColumn id="4" name="Required before final submission"/>
    <x:tableColumn id="5" name="Status"/>
    <x:tableColumn id="6" name="Supervisor 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earchVocabularyTable" displayName="SearchVocabularyTable" ref="A1:E11" headerRowCount="1" totalsRowCount="0" totalsRowShown="0">
  <x:tableColumns count="5">
    <x:tableColumn id="1" name="Search ID"/>
    <x:tableColumn id="2" name="Search string"/>
    <x:tableColumn id="3" name="Purpose / use"/>
    <x:tableColumn id="4" name="Search status"/>
    <x:tableColumn id="5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reReferencesTable" displayName="CoreReferencesTable" ref="A1:E22" headerRowCount="1" totalsRowCount="0" totalsRowShown="0">
  <x:tableColumns count="5">
    <x:tableColumn id="1" name="Ref ID"/>
    <x:tableColumn id="2" name="Full reference"/>
    <x:tableColumn id="3" name="Source URL / DOI"/>
    <x:tableColumn id="4" name="Source class"/>
    <x:tableColumn id="5" name="Use in FreshRou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c4dd69adb004bb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921c8cc9d0944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25245067e564f2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ccc72c95105417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b7ddc10e8584ca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773c9146c3543f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ec05eeafc9642c5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2" hidden="0" customWidth="1"/>
    <x:col min="3" max="3" width="4" hidden="0" customWidth="1"/>
    <x:col min="4" max="4" width="30" hidden="0" customWidth="1"/>
    <x:col min="5" max="5" width="16" hidden="0" customWidth="1"/>
    <x:col min="6" max="6" width="4" hidden="0" customWidth="1"/>
    <x:col min="7" max="7" width="18" hidden="0" customWidth="1"/>
    <x:col min="8" max="8" width="18" hidden="0" customWidth="1"/>
  </x:cols>
  <x:sheetData>
    <x:row r="1" ht="28" customHeight="1">
      <x:c r="A1" s="62" t="str">
        <x:v>FreshRoute Collective – Research Log</x:v>
      </x:c>
      <x:c r="B1" s="62"/>
      <x:c r="C1" s="62"/>
      <x:c r="D1" s="62"/>
      <x:c r="E1" s="62"/>
      <x:c r="F1" s="62"/>
      <x:c r="G1" s="62"/>
      <x:c r="H1" s="62"/>
      <x:c r="I1" s="44"/>
      <x:c r="J1" s="44"/>
      <x:c r="K1" s="44"/>
      <x:c r="L1" s="44"/>
      <x:c r="M1" s="44"/>
      <x:c r="N1" s="44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 ht="22" customHeight="1">
      <x:c r="A2" s="63" t="str">
        <x:v>7001SOM Postgraduate Project – Business Plan + Artefact | Hemanth Reddy | Supervisor review copy</x:v>
      </x:c>
      <x:c r="B2" s="63"/>
      <x:c r="C2" s="63"/>
      <x:c r="D2" s="63"/>
      <x:c r="E2" s="63"/>
      <x:c r="F2" s="63"/>
      <x:c r="G2" s="63"/>
      <x:c r="H2" s="63"/>
      <x:c r="I2" s="44"/>
      <x:c r="J2" s="44"/>
      <x:c r="K2" s="44"/>
      <x:c r="L2" s="44"/>
      <x:c r="M2" s="44"/>
      <x:c r="N2" s="44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44"/>
      <x:c r="B3" s="44"/>
      <x:c r="C3" s="44"/>
      <x:c r="D3" s="44"/>
      <x:c r="E3" s="44"/>
      <x:c r="F3" s="44"/>
      <x:c r="G3" s="44"/>
      <x:c r="H3" s="44"/>
      <x:c r="I3" s="44"/>
      <x:c r="J3" s="44"/>
      <x:c r="K3" s="44"/>
      <x:c r="L3" s="44"/>
      <x:c r="M3" s="44"/>
      <x:c r="N3" s="44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1" t="str">
        <x:v>Research-control summary</x:v>
      </x:c>
      <x:c r="B4" s="41" t="str"/>
      <x:c r="C4" s="44"/>
      <x:c r="D4" s="41" t="str">
        <x:v>Research-log KPIs</x:v>
      </x:c>
      <x:c r="E4" s="41" t="str">
        <x:v>Value</x:v>
      </x:c>
      <x:c r="F4" s="44"/>
      <x:c r="G4" s="44"/>
      <x:c r="H4" s="44"/>
      <x:c r="I4" s="44"/>
      <x:c r="J4" s="44"/>
      <x:c r="K4" s="44"/>
      <x:c r="L4" s="44"/>
      <x:c r="M4" s="44"/>
      <x:c r="N4" s="44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43" t="str">
        <x:v>Methodological boundary</x:v>
      </x:c>
      <x:c r="B5" s="44" t="str">
        <x:v>Secondary research only; no surveys, interviews or site visits are claimed.</x:v>
      </x:c>
      <x:c r="C5" s="44"/>
      <x:c r="D5" s="43" t="str">
        <x:v>Logged activities</x:v>
      </x:c>
      <x:c r="E5" s="44" t="n">
        <x:f>COUNTA('Research Log'!A2:A100)</x:f>
        <x:v>26</x:v>
      </x:c>
      <x:c r="F5" s="44"/>
      <x:c r="G5" s="44"/>
      <x:c r="H5" s="44"/>
      <x:c r="I5" s="44"/>
      <x:c r="J5" s="44"/>
      <x:c r="K5" s="44"/>
      <x:c r="L5" s="44"/>
      <x:c r="M5" s="44"/>
      <x:c r="N5" s="44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43" t="str">
        <x:v>Evidence priority</x:v>
      </x:c>
      <x:c r="B6" s="44" t="str">
        <x:v>Government/regulator → WRAP/UN → peer-reviewed journals → official company pages.</x:v>
      </x:c>
      <x:c r="C6" s="44"/>
      <x:c r="D6" s="43" t="str">
        <x:v>Included sources/activities</x:v>
      </x:c>
      <x:c r="E6" s="44" t="n">
        <x:f>COUNTIF('Research Log'!K2:K100,"Included")</x:f>
        <x:v>9</x:v>
      </x:c>
      <x:c r="F6" s="44"/>
      <x:c r="G6" s="44"/>
      <x:c r="H6" s="44"/>
      <x:c r="I6" s="44"/>
      <x:c r="J6" s="44"/>
      <x:c r="K6" s="44"/>
      <x:c r="L6" s="44"/>
      <x:c r="M6" s="44"/>
      <x:c r="N6" s="44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43" t="str">
        <x:v>Evidence integrity</x:v>
      </x:c>
      <x:c r="B7" s="44" t="str">
        <x:v>Unsupported blogs, invented primary data and unverified supplier savings claims are excluded.</x:v>
      </x:c>
      <x:c r="C7" s="44"/>
      <x:c r="D7" s="43" t="str">
        <x:v>Included with caution</x:v>
      </x:c>
      <x:c r="E7" s="44" t="n">
        <x:f>COUNTIF('Research Log'!K2:K100,"Included with caution")</x:f>
        <x:v>13</x:v>
      </x:c>
      <x:c r="F7" s="44"/>
      <x:c r="G7" s="44"/>
      <x:c r="H7" s="44"/>
      <x:c r="I7" s="44"/>
      <x:c r="J7" s="44"/>
      <x:c r="K7" s="44"/>
      <x:c r="L7" s="44"/>
      <x:c r="M7" s="44"/>
      <x:c r="N7" s="44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43" t="str">
        <x:v>Final audit date</x:v>
      </x:c>
      <x:c r="B8" s="44" t="str">
        <x:v>15 September 2026</x:v>
      </x:c>
      <x:c r="C8" s="44"/>
      <x:c r="D8" s="43" t="str">
        <x:v>Open evidence gaps</x:v>
      </x:c>
      <x:c r="E8" s="44" t="n">
        <x:f>COUNTA('Evidence Gaps'!A2:A100)</x:f>
        <x:v>6</x:v>
      </x:c>
      <x:c r="F8" s="44"/>
      <x:c r="G8" s="44"/>
      <x:c r="H8" s="44"/>
      <x:c r="I8" s="44"/>
      <x:c r="J8" s="44"/>
      <x:c r="K8" s="44"/>
      <x:c r="L8" s="44"/>
      <x:c r="M8" s="44"/>
      <x:c r="N8" s="44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43" t="str">
        <x:v>Purpose</x:v>
      </x:c>
      <x:c r="B9" s="44" t="str">
        <x:v>Trace the search route, source, finding, limitation and decision made for the FreshRoute business plan.</x:v>
      </x:c>
      <x:c r="C9" s="44"/>
      <x:c r="D9" s="43" t="str">
        <x:v>Excluded/caution categories</x:v>
      </x:c>
      <x:c r="E9" s="44" t="n">
        <x:f>COUNTA('Exclusions &amp; Cautions'!A2:A100)</x:f>
        <x:v>6</x:v>
      </x:c>
      <x:c r="F9" s="44"/>
      <x:c r="G9" s="44"/>
      <x:c r="H9" s="44"/>
      <x:c r="I9" s="44"/>
      <x:c r="J9" s="44"/>
      <x:c r="K9" s="44"/>
      <x:c r="L9" s="44"/>
      <x:c r="M9" s="44"/>
      <x:c r="N9" s="44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43" t="str">
        <x:v>Workbook note</x:v>
      </x:c>
      <x:c r="B10" s="44" t="str">
        <x:v>Supervisor notes and follow-up fields are intentionally editable.</x:v>
      </x:c>
      <x:c r="C10" s="44"/>
      <x:c r="D10" s="44"/>
      <x:c r="E10" s="44"/>
      <x:c r="F10" s="44"/>
      <x:c r="G10" s="44"/>
      <x:c r="H10" s="44"/>
      <x:c r="I10" s="44"/>
      <x:c r="J10" s="44"/>
      <x:c r="K10" s="44"/>
      <x:c r="L10" s="44"/>
      <x:c r="M10" s="44"/>
      <x:c r="N10" s="44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44"/>
      <x:c r="B11" s="44"/>
      <x:c r="C11" s="44"/>
      <x:c r="D11" s="44"/>
      <x:c r="E11" s="44"/>
      <x:c r="F11" s="44"/>
      <x:c r="G11" s="44"/>
      <x:c r="H11" s="44"/>
      <x:c r="I11" s="44"/>
      <x:c r="J11" s="44"/>
      <x:c r="K11" s="44"/>
      <x:c r="L11" s="44"/>
      <x:c r="M11" s="44"/>
      <x:c r="N11" s="44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44"/>
      <x:c r="B12" s="44"/>
      <x:c r="C12" s="44"/>
      <x:c r="D12" s="60" t="str">
        <x:v>Use-status summary</x:v>
      </x:c>
      <x:c r="E12" s="60" t="str">
        <x:v>Count</x:v>
      </x:c>
      <x:c r="F12" s="44"/>
      <x:c r="G12" s="44"/>
      <x:c r="H12" s="44"/>
      <x:c r="I12" s="44"/>
      <x:c r="J12" s="44"/>
      <x:c r="K12" s="44"/>
      <x:c r="L12" s="44"/>
      <x:c r="M12" s="44"/>
      <x:c r="N12" s="44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44"/>
      <x:c r="B13" s="44"/>
      <x:c r="C13" s="44"/>
      <x:c r="D13" s="44" t="str">
        <x:v>Included</x:v>
      </x:c>
      <x:c r="E13" s="44" t="n">
        <x:f>COUNTIF('Research Log'!K2:K100,"Included")</x:f>
        <x:v>9</x:v>
      </x:c>
      <x:c r="F13" s="44"/>
      <x:c r="G13" s="44"/>
      <x:c r="H13" s="44"/>
      <x:c r="I13" s="44"/>
      <x:c r="J13" s="44"/>
      <x:c r="K13" s="44"/>
      <x:c r="L13" s="44"/>
      <x:c r="M13" s="44"/>
      <x:c r="N13" s="44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44"/>
      <x:c r="B14" s="44"/>
      <x:c r="C14" s="44"/>
      <x:c r="D14" s="44" t="str">
        <x:v>Included with caution</x:v>
      </x:c>
      <x:c r="E14" s="44" t="n">
        <x:f>COUNTIF('Research Log'!K2:K100,"Included with caution")</x:f>
        <x:v>13</x:v>
      </x:c>
      <x:c r="F14" s="44"/>
      <x:c r="G14" s="44"/>
      <x:c r="H14" s="44"/>
      <x:c r="I14" s="44"/>
      <x:c r="J14" s="44"/>
      <x:c r="K14" s="44"/>
      <x:c r="L14" s="44"/>
      <x:c r="M14" s="44"/>
      <x:c r="N14" s="44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44"/>
      <x:c r="B15" s="44"/>
      <x:c r="C15" s="44"/>
      <x:c r="D15" s="44" t="str">
        <x:v>Governing framework</x:v>
      </x:c>
      <x:c r="E15" s="44" t="n">
        <x:f>COUNTIF('Research Log'!K2:K100,"Governing framework")</x:f>
        <x:v>1</x:v>
      </x:c>
      <x:c r="F15" s="44"/>
      <x:c r="G15" s="44"/>
      <x:c r="H15" s="44"/>
      <x:c r="I15" s="44"/>
      <x:c r="J15" s="44"/>
      <x:c r="K15" s="44"/>
      <x:c r="L15" s="44"/>
      <x:c r="M15" s="44"/>
      <x:c r="N15" s="44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44"/>
      <x:c r="B16" s="44"/>
      <x:c r="C16" s="44"/>
      <x:c r="D16" s="44" t="str">
        <x:v>Verification</x:v>
      </x:c>
      <x:c r="E16" s="44" t="n">
        <x:f>COUNTIF('Research Log'!K2:K100,"Verification")</x:f>
        <x:v>1</x:v>
      </x:c>
      <x:c r="F16" s="44"/>
      <x:c r="G16" s="44"/>
      <x:c r="H16" s="44"/>
      <x:c r="I16" s="44"/>
      <x:c r="J16" s="44"/>
      <x:c r="K16" s="44"/>
      <x:c r="L16" s="44"/>
      <x:c r="M16" s="44"/>
      <x:c r="N16" s="44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44"/>
      <x:c r="B17" s="44"/>
      <x:c r="C17" s="44"/>
      <x:c r="D17" s="44"/>
      <x:c r="E17" s="44"/>
      <x:c r="F17" s="44"/>
      <x:c r="G17" s="44"/>
      <x:c r="H17" s="44"/>
      <x:c r="I17" s="44"/>
      <x:c r="J17" s="44"/>
      <x:c r="K17" s="44"/>
      <x:c r="L17" s="44"/>
      <x:c r="M17" s="44"/>
      <x:c r="N17" s="44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44"/>
      <x:c r="B18" s="44"/>
      <x:c r="C18" s="44"/>
      <x:c r="D18" s="44"/>
      <x:c r="E18" s="44"/>
      <x:c r="F18" s="44"/>
      <x:c r="G18" s="44"/>
      <x:c r="H18" s="44"/>
      <x:c r="I18" s="44"/>
      <x:c r="J18" s="44"/>
      <x:c r="K18" s="44"/>
      <x:c r="L18" s="44"/>
      <x:c r="M18" s="44"/>
      <x:c r="N18" s="44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44"/>
      <x:c r="B19" s="44"/>
      <x:c r="C19" s="44"/>
      <x:c r="D19" s="44"/>
      <x:c r="E19" s="44"/>
      <x:c r="F19" s="44"/>
      <x:c r="G19" s="44"/>
      <x:c r="H19" s="44"/>
      <x:c r="I19" s="44"/>
      <x:c r="J19" s="44"/>
      <x:c r="K19" s="44"/>
      <x:c r="L19" s="44"/>
      <x:c r="M19" s="44"/>
      <x:c r="N19" s="44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44"/>
      <x:c r="B20" s="44"/>
      <x:c r="C20" s="44"/>
      <x:c r="D20" s="44"/>
      <x:c r="E20" s="44"/>
      <x:c r="F20" s="44"/>
      <x:c r="G20" s="44"/>
      <x:c r="H20" s="44"/>
      <x:c r="I20" s="44"/>
      <x:c r="J20" s="44"/>
      <x:c r="K20" s="44"/>
      <x:c r="L20" s="44"/>
      <x:c r="M20" s="44"/>
      <x:c r="N20" s="44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9c4dd69adb004bb4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5" hidden="0" customWidth="1"/>
    <x:col min="3" max="3" width="28" hidden="0" customWidth="1"/>
    <x:col min="4" max="4" width="42" hidden="0" customWidth="1"/>
    <x:col min="5" max="5" width="45" hidden="0" customWidth="1"/>
    <x:col min="6" max="6" width="48" hidden="0" customWidth="1"/>
    <x:col min="7" max="7" width="28" hidden="0" customWidth="1"/>
    <x:col min="8" max="8" width="48" hidden="0" customWidth="1"/>
    <x:col min="9" max="9" width="48" hidden="0" customWidth="1"/>
    <x:col min="10" max="10" width="48" hidden="0" customWidth="1"/>
    <x:col min="11" max="11" width="22" hidden="0" customWidth="1"/>
    <x:col min="12" max="12" width="17" hidden="0" customWidth="1"/>
    <x:col min="13" max="13" width="34" hidden="0" customWidth="1"/>
    <x:col min="14" max="14" width="38" hidden="0" customWidth="1"/>
  </x:cols>
  <x:sheetData>
    <x:row r="1" ht="32" customHeight="1">
      <x:c r="A1" s="56" t="str">
        <x:v>Log ID</x:v>
      </x:c>
      <x:c r="B1" s="56" t="str">
        <x:v>Date</x:v>
      </x:c>
      <x:c r="C1" s="56" t="str">
        <x:v>Stage</x:v>
      </x:c>
      <x:c r="D1" s="56" t="str">
        <x:v>Search route / terms</x:v>
      </x:c>
      <x:c r="E1" s="56" t="str">
        <x:v>Source reviewed</x:v>
      </x:c>
      <x:c r="F1" s="56" t="str">
        <x:v>Source URL / DOI</x:v>
      </x:c>
      <x:c r="G1" s="56" t="str">
        <x:v>Evidence type</x:v>
      </x:c>
      <x:c r="H1" s="56" t="str">
        <x:v>Key point retained</x:v>
      </x:c>
      <x:c r="I1" s="56" t="str">
        <x:v>Critical appraisal / limitation</x:v>
      </x:c>
      <x:c r="J1" s="56" t="str">
        <x:v>Decision and use in FreshRoute</x:v>
      </x:c>
      <x:c r="K1" s="56" t="str">
        <x:v>Use status</x:v>
      </x:c>
      <x:c r="L1" s="56" t="str">
        <x:v>Final audit date</x:v>
      </x:c>
      <x:c r="M1" s="56" t="str">
        <x:v>Supervisor notes</x:v>
      </x:c>
      <x:c r="N1" s="56" t="str">
        <x:v>Follow-up / action</x:v>
      </x:c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57" t="str">
        <x:v>RL-01</x:v>
      </x:c>
      <x:c r="B2" s="57" t="str">
        <x:v>17 Sep 2026</x:v>
      </x:c>
      <x:c r="C2" s="44" t="str">
        <x:v>Scope and assessment review</x:v>
      </x:c>
      <x:c r="D2" s="44" t="str">
        <x:v>3,015 food businesses, updated 17 Sep 2026</x:v>
      </x:c>
      <x:c r="E2" s="44" t="str">
        <x:v>FreshRoute Collective proposal; 7001SOM assessment template</x:v>
      </x:c>
      <x:c r="F2" s="44" t="str">
        <x:v>Internal project documents – uploaded proposal and assessment template</x:v>
      </x:c>
      <x:c r="G2" s="44" t="str">
        <x:v>Project / assessment documents</x:v>
      </x:c>
      <x:c r="H2" s="44" t="str">
        <x:v>The project is a 6,500-word business plan supported by an artefact. The approved methodological position is desk-based secondary research only; no SME surveys, interviews or site visits are claimed.</x:v>
      </x:c>
      <x:c r="I2" s="44" t="str">
        <x:v>Controlling project documents. They define scope rather than provide external empirical evidence.</x:v>
      </x:c>
      <x:c r="J2" s="44" t="str">
        <x:v>Included as the governing framework. The final paper is structured around business opportunity, research, operations, implementation and evaluation, while retaining the secondary-only boundary.</x:v>
      </x:c>
      <x:c r="K2" s="57" t="str">
        <x:v>Governing framework</x:v>
      </x:c>
      <x:c r="L2" s="57" t="str"/>
      <x:c r="M2" s="44" t="str"/>
      <x:c r="N2" s="44" t="str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57" t="str">
        <x:v>RL-02</x:v>
      </x:c>
      <x:c r="B3" s="57" t="str">
        <x:v>August 2026</x:v>
      </x:c>
      <x:c r="C3" s="44" t="str">
        <x:v>Problem-size evidence</x:v>
      </x:c>
      <x:c r="D3" s="44" t="str">
        <x:v>site:wrap.ngo UK Food Waste Food Surplus Key Facts 2025</x:v>
      </x:c>
      <x:c r="E3" s="44" t="str">
        <x:v>WRAP (2025), UK Food Waste &amp; Food Surplus – Key Facts</x:v>
      </x:c>
      <x:c r="F3" s="44" t="str">
        <x:v>https://www.wrap.ngo/resources/report/uk-food-waste-food-surplus-key-facts</x:v>
      </x:c>
      <x:c r="G3" s="44" t="str">
        <x:v>Authoritative industry / NGO report</x:v>
      </x:c>
      <x:c r="H3" s="44" t="str">
        <x:v>Provides the most recent consolidated UK food-waste and surplus statistics by sector and frames progress against food-waste targets.</x:v>
      </x:c>
      <x:c r="I3" s="44" t="str">
        <x:v>High relevance and UK-specific; WRAP is a central evidence source for UK food-waste policy and measurement. Figures are aggregate and do not isolate micro food SMEs.</x:v>
      </x:c>
      <x:c r="J3" s="44" t="str">
        <x:v>Included for national scale and problem context only. Not used to claim FreshRoute-specific savings.</x:v>
      </x:c>
      <x:c r="K3" s="57" t="str">
        <x:v>Included</x:v>
      </x:c>
      <x:c r="L3" s="57" t="str"/>
      <x:c r="M3" s="44" t="str"/>
      <x:c r="N3" s="44" t="str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57" t="str">
        <x:v>RL-03</x:v>
      </x:c>
      <x:c r="B4" s="57" t="str">
        <x:v>August 2026</x:v>
      </x:c>
      <x:c r="C4" s="44" t="str">
        <x:v>National baseline cross-check</x:v>
      </x:c>
      <x:c r="D4" s="44" t="str">
        <x:v>site:gov.uk United Kingdom Food Security Report 2024 10.7 million tonnes food waste</x:v>
      </x:c>
      <x:c r="E4" s="44" t="str">
        <x:v>DEFRA (2024), United Kingdom Food Security Report 2024: Theme 2 – UK Food Supply Sources</x:v>
      </x:c>
      <x:c r="F4" s="44" t="str">
        <x:v>https://www.gov.uk/government/statistics/united-kingdom-food-security-report-2024/united-kingdom-food-security-report-2024-theme-2-uk-food-supply-sources</x:v>
      </x:c>
      <x:c r="G4" s="44" t="str">
        <x:v>UK government statistics</x:v>
      </x:c>
      <x:c r="H4" s="44" t="str">
        <x:v>Reports 10.7 million tonnes of UK food waste in 2021; hospitality and food service accounted for about 1.1 million tonnes and retail about 0.2 million tonnes.</x:v>
      </x:c>
      <x:c r="I4" s="44" t="str">
        <x:v>High-authority national source; however, sector totals are not a direct estimate of waste attributable to independent SMEs.</x:v>
      </x:c>
      <x:c r="J4" s="44" t="str">
        <x:v>Included to corroborate WRAP and avoid overstating SME-specific waste.</x:v>
      </x:c>
      <x:c r="K4" s="57" t="str">
        <x:v>Included</x:v>
      </x:c>
      <x:c r="L4" s="57" t="str"/>
      <x:c r="M4" s="44" t="str"/>
      <x:c r="N4" s="44" t="str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57" t="str">
        <x:v>RL-04</x:v>
      </x:c>
      <x:c r="B5" s="57" t="str">
        <x:v>August 2026</x:v>
      </x:c>
      <x:c r="C5" s="44" t="str">
        <x:v>Policy rationale</x:v>
      </x:c>
      <x:c r="D5" s="44" t="str">
        <x:v>site:sdgs.un.org Goal 12 target 12.3 food waste</x:v>
      </x:c>
      <x:c r="E5" s="44" t="str">
        <x:v>United Nations, Sustainable Development Goal 12, Target 12.3</x:v>
      </x:c>
      <x:c r="F5" s="44" t="str">
        <x:v>https://sdgs.un.org/goals/goal12</x:v>
      </x:c>
      <x:c r="G5" s="44" t="str">
        <x:v>International policy source</x:v>
      </x:c>
      <x:c r="H5" s="44" t="str">
        <x:v>Target 12.3 calls for halving per-capita food waste at retail and consumer levels by 2030 and reducing food losses along production and supply chains.</x:v>
      </x:c>
      <x:c r="I5" s="44" t="str">
        <x:v>Authoritative policy target. It provides policy relevance, not proof that a particular logistics model will reduce waste.</x:v>
      </x:c>
      <x:c r="J5" s="44" t="str">
        <x:v>Included to frame prevention as a policy priority. Environmental benefit remains an outcome to test, not an assumed result.</x:v>
      </x:c>
      <x:c r="K5" s="57" t="str">
        <x:v>Included</x:v>
      </x:c>
      <x:c r="L5" s="57" t="str"/>
      <x:c r="M5" s="44" t="str"/>
      <x:c r="N5" s="44" t="str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57" t="str">
        <x:v>RL-05</x:v>
      </x:c>
      <x:c r="B6" s="57" t="str">
        <x:v>August 2026</x:v>
      </x:c>
      <x:c r="C6" s="44" t="str">
        <x:v>Business-action framework</x:v>
      </x:c>
      <x:c r="D6" s="44" t="str">
        <x:v>site:wrap.ngo Food Waste Reduction Roadmap Progress Update 2024</x:v>
      </x:c>
      <x:c r="E6" s="44" t="str">
        <x:v>WRAP (2024), The Food Waste Reduction Roadmap: Progress Update 2024</x:v>
      </x:c>
      <x:c r="F6" s="44" t="str">
        <x:v>https://www.wrap.ngo/resources/report/food-waste-reduction-roadmap-progress-update-2024</x:v>
      </x:c>
      <x:c r="G6" s="44" t="str">
        <x:v>Industry implementation report</x:v>
      </x:c>
      <x:c r="H6" s="44" t="str">
        <x:v>The Roadmap uses Target–Measure–Act and emphasises measurement, action and supply-chain collaboration; adoption and reporting remain incomplete across the sector.</x:v>
      </x:c>
      <x:c r="I6" s="44" t="str">
        <x:v>Strong UK practitioner relevance. Roadmap participation is not representative of all small businesses.</x:v>
      </x:c>
      <x:c r="J6" s="44" t="str">
        <x:v>Included to support an evidence-led measurement approach and KPIs rather than broad sustainability claims.</x:v>
      </x:c>
      <x:c r="K6" s="57" t="str">
        <x:v>Included</x:v>
      </x:c>
      <x:c r="L6" s="57" t="str"/>
      <x:c r="M6" s="44" t="str"/>
      <x:c r="N6" s="44" t="str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57" t="str">
        <x:v>RL-06</x:v>
      </x:c>
      <x:c r="B7" s="57" t="str">
        <x:v>August 2026</x:v>
      </x:c>
      <x:c r="C7" s="44" t="str">
        <x:v>SME market context</x:v>
      </x:c>
      <x:c r="D7" s="44" t="str">
        <x:v>site:gov.uk Business population estimates 2025 SMEs 99.85%</x:v>
      </x:c>
      <x:c r="E7" s="44" t="str">
        <x:v>Department for Business and Trade (2025), Business population estimates for the UK and regions 2025</x:v>
      </x:c>
      <x:c r="F7" s="44" t="str">
        <x:v>https://www.gov.uk/government/statistics/business-population-estimates-2025</x:v>
      </x:c>
      <x:c r="G7" s="44" t="str">
        <x:v>UK official statistics</x:v>
      </x:c>
      <x:c r="H7" s="44" t="str">
        <x:v>SMEs account for 99.85% of UK private-sector businesses; small businesses account for 99.18%.</x:v>
      </x:c>
      <x:c r="I7" s="44" t="str">
        <x:v>High-authority population statistics, but not specific to foodservice or chilled-logistics users.</x:v>
      </x:c>
      <x:c r="J7" s="44" t="str">
        <x:v>Included to establish the structural importance of SMEs. It is not used as a proxy for FreshRoute’s addressable market.</x:v>
      </x:c>
      <x:c r="K7" s="57" t="str">
        <x:v>Included</x:v>
      </x:c>
      <x:c r="L7" s="57" t="str"/>
      <x:c r="M7" s="44" t="str"/>
      <x:c r="N7" s="44" t="str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57" t="str">
        <x:v>RL-07</x:v>
      </x:c>
      <x:c r="B8" s="57" t="str">
        <x:v>August 2026</x:v>
      </x:c>
      <x:c r="C8" s="44" t="str">
        <x:v>Cold-chain legal constraint</x:v>
      </x:c>
      <x:c r="D8" s="44" t="str">
        <x:v>site:food.gov.uk 8°C chilled foods 5°C recommended</x:v>
      </x:c>
      <x:c r="E8" s="44" t="str">
        <x:v>Food Standards Agency (2023), Storing chilled foods at incorrect temperatures</x:v>
      </x:c>
      <x:c r="F8" s="44" t="str">
        <x:v>https://www.food.gov.uk/research/behaviour-and-perception/storing-chilled-foods-at-incorrect-temperatures</x:v>
      </x:c>
      <x:c r="G8" s="44" t="str">
        <x:v>UK food-safety authority guidance / research</x:v>
      </x:c>
      <x:c r="H8" s="44" t="str">
        <x:v>For food business operators in England, Wales and Northern Ireland, cold foods must be stored below 8°C; FSA guidance recommends fridge operation at 5°C or below.</x:v>
      </x:c>
      <x:c r="I8" s="44" t="str">
        <x:v>Directly relevant and authoritative for temperature control. Requirements can differ by product, process and jurisdiction, so specific operations still require due diligence.</x:v>
      </x:c>
      <x:c r="J8" s="44" t="str">
        <x:v>Included as a non-negotiable design constraint. Temperature logging, dwell time and exception handling are built into the proposed artefact and operations plan.</x:v>
      </x:c>
      <x:c r="K8" s="57" t="str">
        <x:v>Included</x:v>
      </x:c>
      <x:c r="L8" s="57" t="str"/>
      <x:c r="M8" s="44" t="str"/>
      <x:c r="N8" s="44" t="str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57" t="str">
        <x:v>RL-08</x:v>
      </x:c>
      <x:c r="B9" s="57" t="str">
        <x:v>August 2026</x:v>
      </x:c>
      <x:c r="C9" s="44" t="str">
        <x:v>Food-business compliance scope</x:v>
      </x:c>
      <x:c r="D9" s="44" t="str">
        <x:v>site:gov.uk Starting a food business Food Standards Agency 2023 distribute store handle</x:v>
      </x:c>
      <x:c r="E9" s="44" t="str">
        <x:v>Food Standards Agency / GOV.UK (2023), Starting a food business</x:v>
      </x:c>
      <x:c r="F9" s="44" t="str">
        <x:v>https://www.gov.uk/guidance/starting-a-food-business</x:v>
      </x:c>
      <x:c r="G9" s="44" t="str">
        <x:v>UK regulatory guidance</x:v>
      </x:c>
      <x:c r="H9" s="44" t="str">
        <x:v>Businesses that sell, cook, store, handle, prepare or distribute food may be food businesses and need local-authority registration and food-safety planning.</x:v>
      </x:c>
      <x:c r="I9" s="44" t="str">
        <x:v>Authoritative general guidance. Exact obligations depend on the final operating model and local enforcement interpretation.</x:v>
      </x:c>
      <x:c r="J9" s="44" t="str">
        <x:v>Included in risk and implementation sections. Final launch would require regulatory confirmation before handling or storing food.</x:v>
      </x:c>
      <x:c r="K9" s="57" t="str">
        <x:v>Included with caution</x:v>
      </x:c>
      <x:c r="L9" s="57" t="str"/>
      <x:c r="M9" s="44" t="str"/>
      <x:c r="N9" s="44" t="str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57" t="str">
        <x:v>RL-09</x:v>
      </x:c>
      <x:c r="B10" s="57" t="str">
        <x:v>August 2026</x:v>
      </x:c>
      <x:c r="C10" s="44" t="str">
        <x:v>Collaboration mechanism</x:v>
      </x:c>
      <x:c r="D10" s="44" t="str">
        <x:v>horizontal logistics collaboration agri-food Badraoui 2020 DOI</x:v>
      </x:c>
      <x:c r="E10" s="44" t="str">
        <x:v>Badraoui, Van der Vorst and Boulaksil (2020), International Journal of Logistics Research and Applications, 23(1), 85–102. DOI 10.1080/13675567.2019.1604646</x:v>
      </x:c>
      <x:c r="F10" s="44" t="str">
        <x:v>https://doi.org/10.1080/13675567.2019.1604646</x:v>
      </x:c>
      <x:c r="G10" s="44" t="str">
        <x:v>Peer-reviewed journal article</x:v>
      </x:c>
      <x:c r="H10" s="44" t="str">
        <x:v>Operational collaboration outcomes are mediated by relational factors; product-specific handling conditions and trust influence success in agri-food collaboration.</x:v>
      </x:c>
      <x:c r="I10" s="44" t="str">
        <x:v>Strong conceptual and empirical relevance to agri-food HLC, but the study context is Morocco rather than the UK.</x:v>
      </x:c>
      <x:c r="J10" s="44" t="str">
        <x:v>Included for the trust/handling-condition argument, with geographic transferability treated cautiously.</x:v>
      </x:c>
      <x:c r="K10" s="57" t="str">
        <x:v>Included with caution</x:v>
      </x:c>
      <x:c r="L10" s="57" t="str"/>
      <x:c r="M10" s="44" t="str"/>
      <x:c r="N10" s="44" t="str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57" t="str">
        <x:v>RL-10</x:v>
      </x:c>
      <x:c r="B11" s="57" t="str">
        <x:v>August 2026</x:v>
      </x:c>
      <x:c r="C11" s="44" t="str">
        <x:v>Collaboration antecedents</x:v>
      </x:c>
      <x:c r="D11" s="44" t="str">
        <x:v>Antecedents of horizontal logistics collaboration in agri-food supply chains Wageningen</x:v>
      </x:c>
      <x:c r="E11" s="44" t="str">
        <x:v>Badraoui et al. (2022), The International Journal of Logistics Management, 33(1), 239–260. DOI 10.1108/IJLM-09-2020-0362</x:v>
      </x:c>
      <x:c r="F11" s="44" t="str">
        <x:v>https://doi.org/10.1108/IJLM-09-2020-0362</x:v>
      </x:c>
      <x:c r="G11" s="44" t="str">
        <x:v>Peer-reviewed journal article</x:v>
      </x:c>
      <x:c r="H11" s="44" t="str">
        <x:v>Collaboration activities can strengthen trust and commitment, which in turn improve satisfaction; context affects how collaboration is implemented.</x:v>
      </x:c>
      <x:c r="I11" s="44" t="str">
        <x:v>Empirical, peer reviewed and directly relevant to HLC. Not a UK micro-SME study.</x:v>
      </x:c>
      <x:c r="J11" s="44" t="str">
        <x:v>Included to explain both the importance of initial trust and the possibility that trust can develop through successful collaboration.</x:v>
      </x:c>
      <x:c r="K11" s="57" t="str">
        <x:v>Included with caution</x:v>
      </x:c>
      <x:c r="L11" s="57" t="str"/>
      <x:c r="M11" s="44" t="str"/>
      <x:c r="N11" s="44" t="str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57" t="str">
        <x:v>RL-11</x:v>
      </x:c>
      <x:c r="B12" s="57" t="str">
        <x:v>August 2026</x:v>
      </x:c>
      <x:c r="C12" s="44" t="str">
        <x:v>HLC design framework</x:v>
      </x:c>
      <x:c r="D12" s="44" t="str">
        <x:v>A typology of horizontal logistics collaboration concepts agri-food 2022</x:v>
      </x:c>
      <x:c r="E12" s="44" t="str">
        <x:v>Badraoui, Boulaksil and van der Vorst (2022), Benchmarking, 29(4), 1214–1240. DOI 10.1108/BIJ-02-2021-0082</x:v>
      </x:c>
      <x:c r="F12" s="44" t="str">
        <x:v>https://doi.org/10.1108/BIJ-02-2021-0082</x:v>
      </x:c>
      <x:c r="G12" s="44" t="str">
        <x:v>Peer-reviewed journal article</x:v>
      </x:c>
      <x:c r="H12" s="44" t="str">
        <x:v>Partner selection, similarity, information exchange, context and performance indicators are central elements of a workable HLC design.</x:v>
      </x:c>
      <x:c r="I12" s="44" t="str">
        <x:v>Strong framework for service design; illustrative case application limits direct causal claims.</x:v>
      </x:c>
      <x:c r="J12" s="44" t="str">
        <x:v>Included to justify selective pilot membership, common service rules and explicit KPIs rather than open pooling of any business/product.</x:v>
      </x:c>
      <x:c r="K12" s="57" t="str">
        <x:v>Included</x:v>
      </x:c>
      <x:c r="L12" s="57" t="str"/>
      <x:c r="M12" s="44" t="str"/>
      <x:c r="N12" s="44" t="str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57" t="str">
        <x:v>RL-12</x:v>
      </x:c>
      <x:c r="B13" s="57" t="str">
        <x:v>August 2026</x:v>
      </x:c>
      <x:c r="C13" s="44" t="str">
        <x:v>Perishable routing economics</x:v>
      </x:c>
      <x:c r="D13" s="44" t="str">
        <x:v>Modeling a green inventory routing problem for perishable products with horizontal collaboration</x:v>
      </x:c>
      <x:c r="E13" s="44" t="str">
        <x:v>Soysal et al. (2018), Computers &amp; Operations Research, 89, 168–182. DOI 10.1016/j.cor.2016.02.003</x:v>
      </x:c>
      <x:c r="F13" s="44" t="str">
        <x:v>https://doi.org/10.1016/j.cor.2016.02.003</x:v>
      </x:c>
      <x:c r="G13" s="44" t="str">
        <x:v>Peer-reviewed modelling study</x:v>
      </x:c>
      <x:c r="H13" s="44" t="str">
        <x:v>Horizontal collaboration reduced aggregate logistics cost and emissions in the model/case study, but gains were sensitive to supplier size and maximum product shelf life.</x:v>
      </x:c>
      <x:c r="I13" s="44" t="str">
        <x:v>Highly relevant to perishability and routing, but model-based results cannot be transferred as FreshRoute savings percentages.</x:v>
      </x:c>
      <x:c r="J13" s="44" t="str">
        <x:v>Included as evidence of conditional potential. Numerical gains are not presented as forecasts for FreshRoute.</x:v>
      </x:c>
      <x:c r="K13" s="57" t="str">
        <x:v>Included with caution</x:v>
      </x:c>
      <x:c r="L13" s="57" t="str"/>
      <x:c r="M13" s="44" t="str"/>
      <x:c r="N13" s="44" t="str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57" t="str">
        <x:v>RL-13</x:v>
      </x:c>
      <x:c r="B14" s="57" t="str">
        <x:v>August 2026</x:v>
      </x:c>
      <x:c r="C14" s="44" t="str">
        <x:v>Implementation barriers</x:v>
      </x:c>
      <x:c r="D14" s="44" t="str">
        <x:v>Horizontal collaboration freight transport barrier decision-making frameworks 2021</x:v>
      </x:c>
      <x:c r="E14" s="44" t="str">
        <x:v>Karam, Reinau and Østergaard (2021), European Transport Research Review, 13, 53. DOI 10.1186/s12544-021-00512-3</x:v>
      </x:c>
      <x:c r="F14" s="44" t="str">
        <x:v>https://doi.org/10.1186/s12544-021-00512-3</x:v>
      </x:c>
      <x:c r="G14" s="44" t="str">
        <x:v>Peer-reviewed review article</x:v>
      </x:c>
      <x:c r="H14" s="44" t="str">
        <x:v>Identifies 31 barriers grouped around business model, information sharing, human factors, collaborative decision-support systems and market conditions.</x:v>
      </x:c>
      <x:c r="I14" s="44" t="str">
        <x:v>Broad freight-sector review; barriers are not specific to UK food SMEs but offer a robust implementation checklist.</x:v>
      </x:c>
      <x:c r="J14" s="44" t="str">
        <x:v>Included in adoption, governance and risk analysis. Led to explicit treatment of data sharing, decision rights and market-fit risks.</x:v>
      </x:c>
      <x:c r="K14" s="57" t="str">
        <x:v>Included with caution</x:v>
      </x:c>
      <x:c r="L14" s="57" t="str"/>
      <x:c r="M14" s="44" t="str"/>
      <x:c r="N14" s="44" t="str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57" t="str">
        <x:v>RL-14</x:v>
      </x:c>
      <x:c r="B15" s="57" t="str">
        <x:v>August 2026</x:v>
      </x:c>
      <x:c r="C15" s="44" t="str">
        <x:v>Food-waste collaboration theory</x:v>
      </x:c>
      <x:c r="D15" s="44" t="str">
        <x:v>Ameliorating food loss and waste supply chain multi-stakeholder collaboration</x:v>
      </x:c>
      <x:c r="E15" s="44" t="str">
        <x:v>Bhattacharya and Fayezi (2021), Industrial Marketing Management, 93, 328–343. DOI 10.1016/j.indmarman.2021.01.009</x:v>
      </x:c>
      <x:c r="F15" s="44" t="str">
        <x:v>https://doi.org/10.1016/j.indmarman.2021.01.009</x:v>
      </x:c>
      <x:c r="G15" s="44" t="str">
        <x:v>Peer-reviewed conceptual / multi-method study</x:v>
      </x:c>
      <x:c r="H15" s="44" t="str">
        <x:v>Food-loss and waste mitigation depends on alignment among multiple stakeholders and on structural and relational collaboration conditions.</x:v>
      </x:c>
      <x:c r="I15" s="44" t="str">
        <x:v>Strong conceptual relevance to multi-party coordination; not a direct test of the FreshRoute service model.</x:v>
      </x:c>
      <x:c r="J15" s="44" t="str">
        <x:v>Included to avoid treating food waste as a single-firm problem and to justify supplier/SME/logistics coordination.</x:v>
      </x:c>
      <x:c r="K15" s="57" t="str">
        <x:v>Included with caution</x:v>
      </x:c>
      <x:c r="L15" s="57" t="str"/>
      <x:c r="M15" s="44" t="str"/>
      <x:c r="N15" s="44" t="str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57" t="str">
        <x:v>RL-15</x:v>
      </x:c>
      <x:c r="B16" s="57" t="str">
        <x:v>August 2026</x:v>
      </x:c>
      <x:c r="C16" s="44" t="str">
        <x:v>Shelf-life trade-off</x:v>
      </x:c>
      <x:c r="D16" s="44" t="str">
        <x:v>Coordinate or collaborate reducing food waste perishable-product supply chains 2025</x:v>
      </x:c>
      <x:c r="E16" s="44" t="str">
        <x:v>Mohamadi, Transchel and Fransoo (2025), European Journal of Operational Research, 323(3), 795–809. DOI 10.1016/j.ejor.2024.12.039</x:v>
      </x:c>
      <x:c r="F16" s="44" t="str">
        <x:v>https://doi.org/10.1016/j.ejor.2024.12.039</x:v>
      </x:c>
      <x:c r="G16" s="44" t="str">
        <x:v>Peer-reviewed analytical study</x:v>
      </x:c>
      <x:c r="H16" s="44" t="str">
        <x:v>Policies intended to maximise remaining shelf life at one stage can shift waste/cost elsewhere; coordination choices affect profitability and waste.</x:v>
      </x:c>
      <x:c r="I16" s="44" t="str">
        <x:v>Recent and highly relevant to perishable coordination, but based on analytical supply-chain mechanisms rather than a UK SME pooling pilot.</x:v>
      </x:c>
      <x:c r="J16" s="44" t="str">
        <x:v>Included to support the critical proposition that fewer/larger deliveries are not automatically better. Freshness must be evaluated jointly with transport efficiency.</x:v>
      </x:c>
      <x:c r="K16" s="57" t="str">
        <x:v>Included with caution</x:v>
      </x:c>
      <x:c r="L16" s="57" t="str"/>
      <x:c r="M16" s="44" t="str"/>
      <x:c r="N16" s="44" t="str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57" t="str">
        <x:v>RL-16</x:v>
      </x:c>
      <x:c r="B17" s="57" t="str">
        <x:v>August 2026</x:v>
      </x:c>
      <x:c r="C17" s="44" t="str">
        <x:v>Consolidation-centre literature gap</x:v>
      </x:c>
      <x:c r="D17" s="44" t="str">
        <x:v>Urban consolidation centre literature review categorisation future research agenda 2018</x:v>
      </x:c>
      <x:c r="E17" s="44" t="str">
        <x:v>Björklund (2018), International Journal of Physical Distribution &amp; Logistics Management, 48(8), 745–764. DOI 10.1108/IJPDLM-01-2017-0050</x:v>
      </x:c>
      <x:c r="F17" s="44" t="str">
        <x:v>https://doi.org/10.1108/IJPDLM-01-2017-0050</x:v>
      </x:c>
      <x:c r="G17" s="44" t="str">
        <x:v>Peer-reviewed systematic literature review</x:v>
      </x:c>
      <x:c r="H17" s="44" t="str">
        <x:v>UCC research often emphasises optimisation and environmental/social benefits while giving limited attention to financial viability, revenue generation and management.</x:v>
      </x:c>
      <x:c r="I17" s="44" t="str">
        <x:v>Strong review evidence from city logistics; UCCs are an analogy rather than an exact match for food cold-chain pooling.</x:v>
      </x:c>
      <x:c r="J17" s="44" t="str">
        <x:v>Included to make financial viability a central research question rather than an afterthought.</x:v>
      </x:c>
      <x:c r="K17" s="57" t="str">
        <x:v>Included with caution</x:v>
      </x:c>
      <x:c r="L17" s="57" t="str"/>
      <x:c r="M17" s="44" t="str"/>
      <x:c r="N17" s="44" t="str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57" t="str">
        <x:v>RL-17</x:v>
      </x:c>
      <x:c r="B18" s="57" t="str">
        <x:v>August 2026</x:v>
      </x:c>
      <x:c r="C18" s="44" t="str">
        <x:v>Viable business-model factors</x:v>
      </x:c>
      <x:c r="D18" s="44" t="str">
        <x:v>Critical factors viable business models urban consolidation centres 2017</x:v>
      </x:c>
      <x:c r="E18" s="44" t="str">
        <x:v>Björklund, Abrahamsson and Johansson (2017), Research in Transportation Economics, 64, 36–47. DOI 10.1016/j.retrec.2017.09.009</x:v>
      </x:c>
      <x:c r="F18" s="44" t="str">
        <x:v>https://doi.org/10.1016/j.retrec.2017.09.009</x:v>
      </x:c>
      <x:c r="G18" s="44" t="str">
        <x:v>Peer-reviewed multiple-case study</x:v>
      </x:c>
      <x:c r="H18" s="44" t="str">
        <x:v>Identifies adaptability, ability to scale, service innovation, logistics competence and effective IT use among critical factors for viable UCC business models.</x:v>
      </x:c>
      <x:c r="I18" s="44" t="str">
        <x:v>Useful business-model evidence but not cold-chain specific.</x:v>
      </x:c>
      <x:c r="J18" s="44" t="str">
        <x:v>Included in operations and implementation. Supports a narrow pilot, scalable architecture and data-enabled coordination.</x:v>
      </x:c>
      <x:c r="K18" s="57" t="str">
        <x:v>Included with caution</x:v>
      </x:c>
      <x:c r="L18" s="57" t="str"/>
      <x:c r="M18" s="44" t="str"/>
      <x:c r="N18" s="44" t="str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57" t="str">
        <x:v>RL-18</x:v>
      </x:c>
      <x:c r="B19" s="57" t="str">
        <x:v>August 2026</x:v>
      </x:c>
      <x:c r="C19" s="44" t="str">
        <x:v>Profitability sensitivity</x:v>
      </x:c>
      <x:c r="D19" s="44" t="str">
        <x:v>Profitability freight consolidation facilities detailed cost analysis 101122</x:v>
      </x:c>
      <x:c r="E19" s="44" t="str">
        <x:v>Aljohani and Thompson (2021), Research in Transportation Economics, 90, 101122. DOI 10.1016/j.retrec.2021.101122</x:v>
      </x:c>
      <x:c r="F19" s="44" t="str">
        <x:v>https://doi.org/10.1016/j.retrec.2021.101122</x:v>
      </x:c>
      <x:c r="G19" s="44" t="str">
        <x:v>Peer-reviewed cost-modelling study</x:v>
      </x:c>
      <x:c r="H19" s="44" t="str">
        <x:v>Profitability of consolidation facilities is highly sensitive to operational variables; vehicle fill rate is particularly influential.</x:v>
      </x:c>
      <x:c r="I19" s="44" t="str">
        <x:v>Strong unit-economics insight, but theoretical modelling means local costs and demand still have to be measured.</x:v>
      </x:c>
      <x:c r="J19" s="44" t="str">
        <x:v>Included to make utilisation/fill rate a core sensitivity variable and KPI in the FreshRoute financial model.</x:v>
      </x:c>
      <x:c r="K19" s="57" t="str">
        <x:v>Included with caution</x:v>
      </x:c>
      <x:c r="L19" s="57" t="str"/>
      <x:c r="M19" s="44" t="str"/>
      <x:c r="N19" s="44" t="str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57" t="str">
        <x:v>RL-19</x:v>
      </x:c>
      <x:c r="B20" s="57" t="str">
        <x:v>August 2026</x:v>
      </x:c>
      <x:c r="C20" s="44" t="str">
        <x:v>Real-world UCC caution</x:v>
      </x:c>
      <x:c r="D20" s="44" t="str">
        <x:v>How Urban Consolidation Centres affect distribution networks suppliers 2022</x:v>
      </x:c>
      <x:c r="E20" s="44" t="str">
        <x:v>Dreischerf and Buijs (2022), Case Studies on Transport Policy, 10(1), 518–528. DOI 10.1016/j.cstp.2022.01.012</x:v>
      </x:c>
      <x:c r="F20" s="44" t="str">
        <x:v>https://doi.org/10.1016/j.cstp.2022.01.012</x:v>
      </x:c>
      <x:c r="G20" s="44" t="str">
        <x:v>Peer-reviewed multiple case study</x:v>
      </x:c>
      <x:c r="H20" s="44" t="str">
        <x:v>A UCC can reduce vehicle activity but does not necessarily reduce supplier logistics cost in the short term and often requires new service-level agreements.</x:v>
      </x:c>
      <x:c r="I20" s="44" t="str">
        <x:v>Empirical and useful counter-evidence. It is not food-specific, so operational transfer must be reasoned rather than assumed.</x:v>
      </x:c>
      <x:c r="J20" s="44" t="str">
        <x:v>Included as negative/qualifying evidence. The business plan therefore tests who captures benefits and who bears added handling/coordination costs.</x:v>
      </x:c>
      <x:c r="K20" s="57" t="str">
        <x:v>Included with caution</x:v>
      </x:c>
      <x:c r="L20" s="57" t="str"/>
      <x:c r="M20" s="44" t="str"/>
      <x:c r="N20" s="44" t="str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57" t="str">
        <x:v>RL-20</x:v>
      </x:c>
      <x:c r="B21" s="57" t="str">
        <x:v>August 2026</x:v>
      </x:c>
      <x:c r="C21" s="44" t="str">
        <x:v>Competitor / substitute mapping</x:v>
      </x:c>
      <x:c r="D21" s="44" t="str">
        <x:v>Booker catering delivery; Brakes wholesale restaurant delivery; Bidfood what we do</x:v>
      </x:c>
      <x:c r="E21" s="44" t="str">
        <x:v>Booker Wholesale, Brakes Foodservice and Bidfood official service pages (accessed August 2026)</x:v>
      </x:c>
      <x:c r="F21" s="44" t="str">
        <x:v>https://www.booker.co.uk/catering | https://www.brake.co.uk/why-brakes/restaurants | https://www.bidfood.co.uk/what-we-do/</x:v>
      </x:c>
      <x:c r="G21" s="44" t="str">
        <x:v>Primary company sources</x:v>
      </x:c>
      <x:c r="H21" s="44" t="str">
        <x:v>Existing wholesalers already offer broad ranges, chilled/frozen/ambient supply and delivery services; Booker also offers multi-temperature delivery and Brakes/Bidfood position themselves as integrated foodservice suppliers.</x:v>
      </x:c>
      <x:c r="I21" s="44" t="str">
        <x:v>Primary evidence of current service propositions, but company websites are promotional and do not establish comparative prices or customer satisfaction.</x:v>
      </x:c>
      <x:c r="J21" s="44" t="str">
        <x:v>Included for competitor/substitute analysis. FreshRoute is positioned as a supplier-neutral coordination/consolidation layer rather than another full-line national wholesaler.</x:v>
      </x:c>
      <x:c r="K21" s="57" t="str">
        <x:v>Included with caution</x:v>
      </x:c>
      <x:c r="L21" s="57" t="str"/>
      <x:c r="M21" s="44" t="str"/>
      <x:c r="N21" s="44" t="str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57" t="str">
        <x:v>RL-21</x:v>
      </x:c>
      <x:c r="B22" s="57" t="str">
        <x:v>13 Aug 2026</x:v>
      </x:c>
      <x:c r="C22" s="44" t="str">
        <x:v>Evidence and citation audit</x:v>
      </x:c>
      <x:c r="D22" s="44" t="str">
        <x:v>Exact-title and DOI verification across official government/WRAP/FSA pages, publisher pages and university research portals</x:v>
      </x:c>
      <x:c r="E22" s="44" t="str">
        <x:v>Cross-check of all core sources used in Introduction and Literature Review</x:v>
      </x:c>
      <x:c r="F22" s="44" t="str">
        <x:v>DOIs and official URLs listed in the Core References sheet</x:v>
      </x:c>
      <x:c r="G22" s="44" t="str">
        <x:v>Research integrity / verification activity</x:v>
      </x:c>
      <x:c r="H22" s="44" t="str">
        <x:v>Core statistics, legal-temperature statements, publication details and DOI metadata were rechecked. Sources with only indirect relevance were kept as contextual/analogical evidence rather than treated as FreshRoute-specific proof.</x:v>
      </x:c>
      <x:c r="I22" s="44" t="str">
        <x:v>Verification reduces bibliographic and claim risk but does not remove the core limitation: there is still no primary local demand, route or willingness-to-pay dataset.</x:v>
      </x:c>
      <x:c r="J22" s="44" t="str">
        <x:v>Retained conditional language throughout. No claimed pilot result, customer demand figure, saving percentage or break-even point is presented without local data.</x:v>
      </x:c>
      <x:c r="K22" s="57" t="str">
        <x:v>Verification</x:v>
      </x:c>
      <x:c r="L22" s="57" t="str">
        <x:v>13 Aug 2026</x:v>
      </x:c>
      <x:c r="M22" s="44" t="str"/>
      <x:c r="N22" s="44" t="str">
        <x:v>Retain as a limitation; populate only if defensible local secondary data become available.</x:v>
      </x:c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44" t="str">
        <x:v>RL-22</x:v>
      </x:c>
      <x:c r="B23" s="44" t="str">
        <x:v>September 2026</x:v>
      </x:c>
      <x:c r="C23" s="44" t="str">
        <x:v>Commercial pain / customer need</x:v>
      </x:c>
      <x:c r="D23" s="44" t="str">
        <x:v>UK hospitality supplier fragmentation delivery days minimum order quantities</x:v>
      </x:c>
      <x:c r="E23" s="44" t="str">
        <x:v>UKHospitality (2026), Smarter purchasing to manage pressures in the UK hospitality market</x:v>
      </x:c>
      <x:c r="F23" s="44" t="str">
        <x:v>https://www.ukhospitality.org.uk/smarter-purchasing-to-manage-pressures-in-the-uk-hospitality-market/</x:v>
      </x:c>
      <x:c r="G23" s="44" t="str">
        <x:v>UK hospitality sector evidence</x:v>
      </x:c>
      <x:c r="H23" s="44" t="str">
        <x:v>Supplier fragmentation can increase complexity; small/independent businesses can benefit from defined delivery days and clear MOQs, while delivery schedule coordination can improve drop density.</x:v>
      </x:c>
      <x:c r="I23" s="44" t="str">
        <x:v>Practitioner/member insight rather than independent causal research; does not demonstrate Coventry willingness to pay.</x:v>
      </x:c>
      <x:c r="J23" s="44" t="str">
        <x:v>Included to support the customer-pain mechanism while retaining the need for future commercial validation.</x:v>
      </x:c>
      <x:c r="K23" s="44" t="str">
        <x:v>Included with caution</x:v>
      </x:c>
      <x:c r="L23" s="44" t="str">
        <x:v>15 Sep 2026</x:v>
      </x:c>
      <x:c r="M23" s="44" t="str"/>
      <x:c r="N23" s="44" t="str">
        <x:v>Do not convert sector insight into a claimed customer-demand percentage.</x:v>
      </x:c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44" t="str">
        <x:v>RL-23</x:v>
      </x:c>
      <x:c r="B24" s="44" t="str">
        <x:v>September 2026</x:v>
      </x:c>
      <x:c r="C24" s="44" t="str">
        <x:v>Regulatory operating model</x:v>
      </x:c>
      <x:c r="D24" s="44" t="str">
        <x:v>FSA register food business distribution delivery HACCP vehicle hygiene</x:v>
      </x:c>
      <x:c r="E24" s="44" t="str">
        <x:v>Food Standards Agency registration and food-delivery guidance</x:v>
      </x:c>
      <x:c r="F24" s="44" t="str">
        <x:v>https://register.food.gov.uk/new | https://www.gov.uk/government/publications/food-safety-for-food-delivery/food-safety-for-food-delivery</x:v>
      </x:c>
      <x:c r="G24" s="44" t="str">
        <x:v>UK regulatory guidance</x:v>
      </x:c>
      <x:c r="H24" s="44" t="str">
        <x:v>Food businesses must register before trading; delivery operations require appropriate hygiene, chilling, cross-contamination control and HACCP coverage.</x:v>
      </x:c>
      <x:c r="I24" s="44" t="str">
        <x:v>Exact legal responsibility depends on final contractual/operating architecture and local-authority interpretation.</x:v>
      </x:c>
      <x:c r="J24" s="44" t="str">
        <x:v>Expanded RQ2 from temperature only to registration, HACCP, hygiene, traceability, custody and exception controls.</x:v>
      </x:c>
      <x:c r="K24" s="44" t="str">
        <x:v>Included</x:v>
      </x:c>
      <x:c r="L24" s="44" t="str">
        <x:v>15 Sep 2026</x:v>
      </x:c>
      <x:c r="M24" s="44" t="str"/>
      <x:c r="N24" s="44" t="str">
        <x:v>Confirm final business/operator status with the local authority before implementation.</x:v>
      </x:c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44" t="str">
        <x:v>RL-24</x:v>
      </x:c>
      <x:c r="B25" s="44" t="str">
        <x:v>September 2026</x:v>
      </x:c>
      <x:c r="C25" s="44" t="str">
        <x:v>Theoretical strengthening</x:v>
      </x:c>
      <x:c r="D25" s="44" t="str">
        <x:v>relational view interorganizational competitive advantage Dyer Singh</x:v>
      </x:c>
      <x:c r="E25" s="44" t="str">
        <x:v>Dyer and Singh (1998), Academy of Management Review, 23(4), 660-679</x:v>
      </x:c>
      <x:c r="F25" s="44" t="str">
        <x:v>https://doi.org/10.5465/AMR.1998.1255632</x:v>
      </x:c>
      <x:c r="G25" s="44" t="str">
        <x:v>Seminal peer-reviewed theory</x:v>
      </x:c>
      <x:c r="H25" s="44" t="str">
        <x:v>Relational advantage can arise from relationship-specific assets, knowledge-sharing routines, complementary resources/capabilities and effective governance.</x:v>
      </x:c>
      <x:c r="I25" s="44" t="str">
        <x:v>Seminal rather than recent; used as a theoretical lens, not empirical evidence of FreshRoute performance.</x:v>
      </x:c>
      <x:c r="J25" s="44" t="str">
        <x:v>Included to explain why trust, shared routines and governance are economic design variables rather than soft factors.</x:v>
      </x:c>
      <x:c r="K25" s="44" t="str">
        <x:v>Included</x:v>
      </x:c>
      <x:c r="L25" s="44" t="str">
        <x:v>15 Sep 2026</x:v>
      </x:c>
      <x:c r="M25" s="44" t="str"/>
      <x:c r="N25" s="44" t="str">
        <x:v>Use alongside current HLC evidence, not instead of it.</x:v>
      </x:c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44" t="str">
        <x:v>RL-25</x:v>
      </x:c>
      <x:c r="B26" s="44" t="str">
        <x:v>September 2026</x:v>
      </x:c>
      <x:c r="C26" s="44" t="str">
        <x:v>Route-capacity analysis</x:v>
      </x:c>
      <x:c r="D26" s="44" t="str">
        <x:v>FreshRoute route capacity: supplier pickups + SME drops + dwell + driving time</x:v>
      </x:c>
      <x:c r="E26" s="44" t="str">
        <x:v>FreshRoute Enhanced Decision Artefact - Route Feasibility model</x:v>
      </x:c>
      <x:c r="F26" s="44" t="str">
        <x:v>Internal formula-driven scenario model</x:v>
      </x:c>
      <x:c r="G26" s="44" t="str">
        <x:v>Scenario modelling</x:v>
      </x:c>
      <x:c r="H26" s="44" t="str">
        <x:v>Base route of 4 supplier pickups + 12 SME drops is ~6.35h; 14-drop stretch ~7.02h; 16 SME drops + 5 pickups is ~8.0h and fails the 7.5h limit.</x:v>
      </x:c>
      <x:c r="I26" s="44" t="str">
        <x:v>Stop times, urban speed and distances are planning assumptions, not measured Coventry operations.</x:v>
      </x:c>
      <x:c r="J26" s="44" t="str">
        <x:v>Included to answer RQ3 quantitatively and cap route loading rather than assuming unlimited density.</x:v>
      </x:c>
      <x:c r="K26" s="44" t="str">
        <x:v>Working analysis</x:v>
      </x:c>
      <x:c r="L26" s="44" t="str">
        <x:v>15 Sep 2026</x:v>
      </x:c>
      <x:c r="M26" s="44" t="str"/>
      <x:c r="N26" s="44" t="str">
        <x:v>Replace planning stop times with observed pilot data if implementation proceeds.</x:v>
      </x:c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44" t="str">
        <x:v>RL-26</x:v>
      </x:c>
      <x:c r="B27" s="44" t="str">
        <x:v>September 2026</x:v>
      </x:c>
      <x:c r="C27" s="44" t="str">
        <x:v>Financial depth / cash-flow analysis</x:v>
      </x:c>
      <x:c r="D27" s="44" t="str">
        <x:v>12-month ramp and three-year FreshRoute scenario</x:v>
      </x:c>
      <x:c r="E27" s="44" t="str">
        <x:v>FreshRoute Enhanced Decision Artefact - Forecast model</x:v>
      </x:c>
      <x:c r="F27" s="44" t="str">
        <x:v>Internal formula-driven scenario model</x:v>
      </x:c>
      <x:c r="G27" s="44" t="str">
        <x:v>Scenario modelling</x:v>
      </x:c>
      <x:c r="H27" s="44" t="str">
        <x:v>Year-1 operating EBITDA is around break-even before start-up costs; cumulative cash trough is about £4.9k and indicative funding buffer about £5.6k. Year 2-3 margins remain modest.</x:v>
      </x:c>
      <x:c r="I27" s="44" t="str">
        <x:v>Growth, conversion, pricing and capacity are planning assumptions, not forecasts of realised performance.</x:v>
      </x:c>
      <x:c r="J27" s="44" t="str">
        <x:v>Included to prevent the monthly break-even case from being presented as a complete investment case.</x:v>
      </x:c>
      <x:c r="K27" s="44" t="str">
        <x:v>Working analysis</x:v>
      </x:c>
      <x:c r="L27" s="44" t="str">
        <x:v>15 Sep 2026</x:v>
      </x:c>
      <x:c r="M27" s="44" t="str"/>
      <x:c r="N27" s="44" t="str">
        <x:v>Validate with carrier/insurance/handling quotations before any funding decision.</x:v>
      </x:c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conditionalFormatting sqref="K2:K100">
    <x:cfRule type="expression" dxfId="0" priority="1">
      <x:formula>K2="Included"</x:formula>
    </x:cfRule>
    <x:cfRule type="expression" dxfId="1" priority="2">
      <x:formula>K2="Included with caution"</x:formula>
    </x:cfRule>
    <x:cfRule type="expression" dxfId="2" priority="3">
      <x:formula>K2="Excluded"</x:formula>
    </x:cfRule>
  </x:conditionalFormatting>
  <x:dataValidations count="1">
    <x:dataValidation type="list" sqref="K2:K100">
      <x:formula1>"Included,Included with caution,Governing framework,Verification,Excluded"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921c8cc9d09449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70" hidden="0" customWidth="1"/>
    <x:col min="4" max="4" width="38" hidden="0" customWidth="1"/>
    <x:col min="5" max="5" width="34" hidden="0" customWidth="1"/>
  </x:cols>
  <x:sheetData>
    <x:row r="1">
      <x:c r="A1" s="60" t="str">
        <x:v>ID</x:v>
      </x:c>
      <x:c r="B1" s="60" t="str">
        <x:v>Evidence / source type</x:v>
      </x:c>
      <x:c r="C1" s="60" t="str">
        <x:v>Decision and reason</x:v>
      </x:c>
      <x:c r="D1" s="60" t="str">
        <x:v>Treatment in final project</x:v>
      </x:c>
      <x:c r="E1" s="60" t="str">
        <x:v>Supervisor notes</x:v>
      </x:c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44" t="str">
        <x:v>EX-01</x:v>
      </x:c>
      <x:c r="B2" s="44" t="str">
        <x:v>Generic blogs / unsourced sustainability articles</x:v>
      </x:c>
      <x:c r="C2" s="44" t="str">
        <x:v>Excluded from core evidence because authoritativeness, methods and original data could not be established.</x:v>
      </x:c>
      <x:c r="D2" s="44" t="str">
        <x:v>Exclude from core evidence</x:v>
      </x:c>
      <x:c r="E2" s="44" t="str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44" t="str">
        <x:v>EX-02</x:v>
      </x:c>
      <x:c r="B3" s="44" t="str">
        <x:v>Supplier marketing claims about cost savings without transparent methodology</x:v>
      </x:c>
      <x:c r="C3" s="44" t="str">
        <x:v>Not used as proof of FreshRoute savings. Company sites are used only to describe current service propositions.</x:v>
      </x:c>
      <x:c r="D3" s="44" t="str">
        <x:v>Exclude from core evidence</x:v>
      </x:c>
      <x:c r="E3" s="44" t="str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4" t="str">
        <x:v>EX-03</x:v>
      </x:c>
      <x:c r="B4" s="44" t="str">
        <x:v>Studies focused only on household food waste</x:v>
      </x:c>
      <x:c r="C4" s="44" t="str">
        <x:v>Excluded from the central business argument because FreshRoute targets business-to-business logistics, not household behaviour.</x:v>
      </x:c>
      <x:c r="D4" s="44" t="str">
        <x:v>Exclude from core evidence</x:v>
      </x:c>
      <x:c r="E4" s="44" t="str"/>
      <x:c r="F4" s="39"/>
      <x:c r="G4" s="39"/>
      <x:c r="H4" s="39"/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44" t="str">
        <x:v>EX-04</x:v>
      </x:c>
      <x:c r="B5" s="44" t="str">
        <x:v>Non-perishable freight pooling studies with no useful business-model or governance insight</x:v>
      </x:c>
      <x:c r="C5" s="44" t="str">
        <x:v>Excluded where transfer to chilled food logistics could not be justified.</x:v>
      </x:c>
      <x:c r="D5" s="44" t="str">
        <x:v>Exclude from core evidence</x:v>
      </x:c>
      <x:c r="E5" s="44" t="str"/>
      <x:c r="F5" s="39"/>
      <x:c r="G5" s="39"/>
      <x:c r="H5" s="39"/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44" t="str">
        <x:v>EX-05</x:v>
      </x:c>
      <x:c r="B6" s="44" t="str">
        <x:v>Numerical cost/emission gains from modelling studies</x:v>
      </x:c>
      <x:c r="C6" s="44" t="str">
        <x:v>Kept as evidence of possible mechanisms but not transferred directly into FreshRoute forecasts.</x:v>
      </x:c>
      <x:c r="D6" s="44" t="str">
        <x:v>Use only as contextual/conditional evidence</x:v>
      </x:c>
      <x:c r="E6" s="44" t="str"/>
      <x:c r="F6" s="39"/>
      <x:c r="G6" s="39"/>
      <x:c r="H6" s="39"/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44" t="str">
        <x:v>EX-06</x:v>
      </x:c>
      <x:c r="B7" s="44" t="str">
        <x:v>Invented/local SME survey data or quotations</x:v>
      </x:c>
      <x:c r="C7" s="44" t="str">
        <x:v>Not permitted by the approved secondary-only methodology and therefore not generated or presented.</x:v>
      </x:c>
      <x:c r="D7" s="44" t="str">
        <x:v>Use only as contextual/conditional evidence</x:v>
      </x:c>
      <x:c r="E7" s="44" t="str"/>
      <x:c r="F7" s="39"/>
      <x:c r="G7" s="39"/>
      <x:c r="H7" s="39"/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39"/>
      <x:c r="B8" s="39"/>
      <x:c r="C8" s="39"/>
      <x:c r="D8" s="39"/>
      <x:c r="E8" s="39"/>
      <x:c r="F8" s="39"/>
      <x:c r="G8" s="39"/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39"/>
      <x:c r="B9" s="39"/>
      <x:c r="C9" s="39"/>
      <x:c r="D9" s="39"/>
      <x:c r="E9" s="39"/>
      <x:c r="F9" s="39"/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39"/>
      <x:c r="B10" s="39"/>
      <x:c r="C10" s="39"/>
      <x:c r="D10" s="39"/>
      <x:c r="E10" s="39"/>
      <x:c r="F10" s="39"/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pageMargins left="0.7" right="0.7" top="0.75" bottom="0.75" header="0.3" footer="0.3"/>
  <x:tableParts count="1">
    <x:tablePart xmlns:r="http://schemas.openxmlformats.org/officeDocument/2006/relationships" r:id="Rc25245067e564f2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55" hidden="0" customWidth="1"/>
    <x:col min="4" max="4" width="70" hidden="0" customWidth="1"/>
    <x:col min="5" max="5" width="34" hidden="0" customWidth="1"/>
  </x:cols>
  <x:sheetData>
    <x:row r="1">
      <x:c r="A1" s="60" t="str">
        <x:v>Map ID</x:v>
      </x:c>
      <x:c r="B1" s="60" t="str">
        <x:v>Paper area</x:v>
      </x:c>
      <x:c r="C1" s="60" t="str">
        <x:v>Core sources</x:v>
      </x:c>
      <x:c r="D1" s="60" t="str">
        <x:v>How the evidence is used</x:v>
      </x:c>
      <x:c r="E1" s="60" t="str">
        <x:v>Supervisor notes</x:v>
      </x:c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44" t="str">
        <x:v>MAP-01</x:v>
      </x:c>
      <x:c r="B2" s="44" t="str">
        <x:v>Introduction: problem scale and policy</x:v>
      </x:c>
      <x:c r="C2" s="44" t="str">
        <x:v>WRAP (2025); DEFRA (2024); UN SDG 12.3; DBT (2025)</x:v>
      </x:c>
      <x:c r="D2" s="44" t="str">
        <x:v>Establishes UK scale, policy relevance and SME context without claiming SME-specific waste rates.</x:v>
      </x:c>
      <x:c r="E2" s="44" t="str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44" t="str">
        <x:v>MAP-02</x:v>
      </x:c>
      <x:c r="B3" s="44" t="str">
        <x:v>Literature review: food waste and perishability</x:v>
      </x:c>
      <x:c r="C3" s="44" t="str">
        <x:v>Bhattacharya &amp; Fayezi (2021); Mohamadi et al. (2025)</x:v>
      </x:c>
      <x:c r="D3" s="44" t="str">
        <x:v>Supports a supply-chain view of waste and the possibility of unintended shelf-life/cost transfers.</x:v>
      </x:c>
      <x:c r="E3" s="44" t="str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4" t="str">
        <x:v>MAP-03</x:v>
      </x:c>
      <x:c r="B4" s="44" t="str">
        <x:v>Literature review: horizontal collaboration</x:v>
      </x:c>
      <x:c r="C4" s="44" t="str">
        <x:v>Badraoui et al. (2020; 2022); Soysal et al. (2018); Karam et al. (2021)</x:v>
      </x:c>
      <x:c r="D4" s="44" t="str">
        <x:v>Identifies collaboration benefits, partner fit, information sharing, trust and implementation barriers.</x:v>
      </x:c>
      <x:c r="E4" s="44" t="str"/>
      <x:c r="F4" s="39"/>
      <x:c r="G4" s="39"/>
      <x:c r="H4" s="39"/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44" t="str">
        <x:v>MAP-04</x:v>
      </x:c>
      <x:c r="B5" s="44" t="str">
        <x:v>Literature review: consolidation viability</x:v>
      </x:c>
      <x:c r="C5" s="44" t="str">
        <x:v>Björklund (2018); Björklund et al. (2017); Aljohani &amp; Thompson (2021); Dreischerf &amp; Buijs (2022)</x:v>
      </x:c>
      <x:c r="D5" s="44" t="str">
        <x:v>Provides counter-evidence and business-model conditions; makes fill rate and revenue logic explicit.</x:v>
      </x:c>
      <x:c r="E5" s="44" t="str"/>
      <x:c r="F5" s="39"/>
      <x:c r="G5" s="39"/>
      <x:c r="H5" s="39"/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44" t="str">
        <x:v>MAP-05</x:v>
      </x:c>
      <x:c r="B6" s="44" t="str">
        <x:v>Operations and compliance</x:v>
      </x:c>
      <x:c r="C6" s="44" t="str">
        <x:v>FSA (2023) temperature guidance; FSA/GOV.UK (2023) starting a food business</x:v>
      </x:c>
      <x:c r="D6" s="44" t="str">
        <x:v>Defines temperature control, monitoring and regulatory due-diligence requirements.</x:v>
      </x:c>
      <x:c r="E6" s="44" t="str"/>
      <x:c r="F6" s="39"/>
      <x:c r="G6" s="39"/>
      <x:c r="H6" s="39"/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44" t="str">
        <x:v>MAP-06</x:v>
      </x:c>
      <x:c r="B7" s="44" t="str">
        <x:v>Competitor analysis and positioning</x:v>
      </x:c>
      <x:c r="C7" s="44" t="str">
        <x:v>Booker; Brakes; Bidfood official service pages</x:v>
      </x:c>
      <x:c r="D7" s="44" t="str">
        <x:v>Shows that integrated foodservice delivery already exists, requiring FreshRoute to differentiate as a neutral coordination/consolidation layer.</x:v>
      </x:c>
      <x:c r="E7" s="44" t="str"/>
      <x:c r="F7" s="39"/>
      <x:c r="G7" s="39"/>
      <x:c r="H7" s="39"/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39"/>
      <x:c r="B8" s="39"/>
      <x:c r="C8" s="39"/>
      <x:c r="D8" s="39"/>
      <x:c r="E8" s="39"/>
      <x:c r="F8" s="39"/>
      <x:c r="G8" s="39"/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39"/>
      <x:c r="B9" s="39"/>
      <x:c r="C9" s="39"/>
      <x:c r="D9" s="39"/>
      <x:c r="E9" s="39"/>
      <x:c r="F9" s="39"/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39"/>
      <x:c r="B10" s="39"/>
      <x:c r="C10" s="39"/>
      <x:c r="D10" s="39"/>
      <x:c r="E10" s="39"/>
      <x:c r="F10" s="39"/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pageMargins left="0.7" right="0.7" top="0.75" bottom="0.75" header="0.3" footer="0.3"/>
  <x:tableParts count="1">
    <x:tablePart xmlns:r="http://schemas.openxmlformats.org/officeDocument/2006/relationships" r:id="R1ccc72c95105417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70" hidden="0" customWidth="1"/>
    <x:col min="4" max="4" width="65" hidden="0" customWidth="1"/>
    <x:col min="5" max="5" width="18" hidden="0" customWidth="1"/>
    <x:col min="6" max="6" width="34" hidden="0" customWidth="1"/>
  </x:cols>
  <x:sheetData>
    <x:row r="1">
      <x:c r="A1" s="60" t="str">
        <x:v>Gap ID</x:v>
      </x:c>
      <x:c r="B1" s="60" t="str">
        <x:v>Evidence gap</x:v>
      </x:c>
      <x:c r="C1" s="60" t="str">
        <x:v>Current treatment</x:v>
      </x:c>
      <x:c r="D1" s="60" t="str">
        <x:v>Required before final submission</x:v>
      </x:c>
      <x:c r="E1" s="60" t="str">
        <x:v>Status</x:v>
      </x:c>
      <x:c r="F1" s="60" t="str">
        <x:v>Supervisor notes</x:v>
      </x:c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44" t="str">
        <x:v>GAP-01</x:v>
      </x:c>
      <x:c r="B2" s="44" t="str">
        <x:v>Local SME demand density</x:v>
      </x:c>
      <x:c r="C2" s="44" t="str">
        <x:v>no primary survey is available. A final feasibility model should therefore use transparent scenario assumptions rather than claimed demand.</x:v>
      </x:c>
      <x:c r="D2" s="44" t="str">
        <x:v>Use transparent scenario assumptions; do not claim local demand unless a defensible secondary dataset is found.</x:v>
      </x:c>
      <x:c r="E2" s="44" t="str">
        <x:v>Open</x:v>
      </x:c>
      <x:c r="F2" s="44" t="str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44" t="str">
        <x:v>GAP-02</x:v>
      </x:c>
      <x:c r="B3" s="44" t="str">
        <x:v>Refrigerated transport and handling quotations</x:v>
      </x:c>
      <x:c r="C3" s="44" t="str">
        <x:v>real local quotations are required before a defensible break-even point can be reported.</x:v>
      </x:c>
      <x:c r="D3" s="44" t="str">
        <x:v>Obtain real local quotations or published tariff evidence before reporting break-even.</x:v>
      </x:c>
      <x:c r="E3" s="44" t="str">
        <x:v>Open</x:v>
      </x:c>
      <x:c r="F3" s="44" t="str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4" t="str">
        <x:v>GAP-03</x:v>
      </x:c>
      <x:c r="B4" s="44" t="str">
        <x:v>Willingness to pay</x:v>
      </x:c>
      <x:c r="C4" s="44" t="str">
        <x:v>not established by the secondary evidence. Any subscription or per-delivery fee in the model must be labelled as a scenario variable.</x:v>
      </x:c>
      <x:c r="D4" s="44" t="str">
        <x:v>Treat pricing as a scenario variable; do not present it as validated customer willingness to pay.</x:v>
      </x:c>
      <x:c r="E4" s="44" t="str">
        <x:v>Open</x:v>
      </x:c>
      <x:c r="F4" s="44" t="str"/>
      <x:c r="G4" s="39"/>
      <x:c r="H4" s="39"/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44" t="str">
        <x:v>GAP-04</x:v>
      </x:c>
      <x:c r="B5" s="44" t="str">
        <x:v>Route performance</x:v>
      </x:c>
      <x:c r="C5" s="44" t="str">
        <x:v>no live pilot has been undertaken. Distance, fill rate, stop time and delivery-window assumptions must be treated as model inputs.</x:v>
      </x:c>
      <x:c r="D5" s="44" t="str">
        <x:v>Keep distance, fill rate, stop time and delivery-window values as model inputs.</x:v>
      </x:c>
      <x:c r="E5" s="44" t="str">
        <x:v>Open</x:v>
      </x:c>
      <x:c r="F5" s="44" t="str"/>
      <x:c r="G5" s="39"/>
      <x:c r="H5" s="39"/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44" t="str">
        <x:v>GAP-05</x:v>
      </x:c>
      <x:c r="B6" s="44" t="str">
        <x:v>Waste reduction attributable to FreshRoute</x:v>
      </x:c>
      <x:c r="C6" s="44" t="str">
        <x:v>the literature supports possible mechanisms but does not establish a FreshRoute effect size. The final paper should avoid a claimed percentage reduction until measured.</x:v>
      </x:c>
      <x:c r="D6" s="44" t="str">
        <x:v>Avoid a FreshRoute-specific waste-reduction percentage until measured.</x:v>
      </x:c>
      <x:c r="E6" s="44" t="str">
        <x:v>Open</x:v>
      </x:c>
      <x:c r="F6" s="44" t="str"/>
      <x:c r="G6" s="39"/>
      <x:c r="H6" s="39"/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44" t="str">
        <x:v>GAP-06</x:v>
      </x:c>
      <x:c r="B7" s="44" t="str">
        <x:v>Regulatory operating model</x:v>
      </x:c>
      <x:c r="C7" s="44" t="str">
        <x:v>whether FreshRoute stores, cross-docks, transports, brokers or contracts third-party services changes its obligations. Final launch design requires local-authority and professional compliance confirmation.</x:v>
      </x:c>
      <x:c r="D7" s="44" t="str">
        <x:v>Confirm the proposed operating model with relevant local-authority/professional compliance guidance.</x:v>
      </x:c>
      <x:c r="E7" s="44" t="str">
        <x:v>Open</x:v>
      </x:c>
      <x:c r="F7" s="44" t="str"/>
      <x:c r="G7" s="39"/>
      <x:c r="H7" s="39"/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39"/>
      <x:c r="B8" s="39"/>
      <x:c r="C8" s="39"/>
      <x:c r="D8" s="39"/>
      <x:c r="E8" s="39"/>
      <x:c r="F8" s="39"/>
      <x:c r="G8" s="39"/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39"/>
      <x:c r="B9" s="39"/>
      <x:c r="C9" s="39"/>
      <x:c r="D9" s="39"/>
      <x:c r="E9" s="39"/>
      <x:c r="F9" s="39"/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39"/>
      <x:c r="B10" s="39"/>
      <x:c r="C10" s="39"/>
      <x:c r="D10" s="39"/>
      <x:c r="E10" s="39"/>
      <x:c r="F10" s="39"/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conditionalFormatting sqref="E2:E100">
    <x:cfRule type="expression" dxfId="3" priority="1">
      <x:formula>E2="Open"</x:formula>
    </x:cfRule>
    <x:cfRule type="expression" dxfId="4" priority="2">
      <x:formula>E2="Resolved"</x:formula>
    </x:cfRule>
  </x:conditionalFormatting>
  <x:dataValidations count="1">
    <x:dataValidation type="list" sqref="E2:E100">
      <x:formula1>"Open,In progress,Resolved,Not 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b7ddc10e8584ca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60" hidden="0" customWidth="1"/>
    <x:col min="3" max="3" width="48" hidden="0" customWidth="1"/>
    <x:col min="4" max="4" width="18" hidden="0" customWidth="1"/>
    <x:col min="5" max="5" width="36" hidden="0" customWidth="1"/>
  </x:cols>
  <x:sheetData>
    <x:row r="1">
      <x:c r="A1" s="46" t="str">
        <x:v>Search ID</x:v>
      </x:c>
      <x:c r="B1" s="46" t="str">
        <x:v>Search string</x:v>
      </x:c>
      <x:c r="C1" s="46" t="str">
        <x:v>Purpose / use</x:v>
      </x:c>
      <x:c r="D1" s="46" t="str">
        <x:v>Search status</x:v>
      </x:c>
      <x:c r="E1" s="46" t="str">
        <x:v>Notes</x:v>
      </x:c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44" t="str">
        <x:v>SV-01</x:v>
      </x:c>
      <x:c r="B2" s="44" t="str">
        <x:v>“horizontal logistics collaboration” AND agri-food</x:v>
      </x:c>
      <x:c r="C2" s="44" t="str">
        <x:v>Continued evidence search / reproducible search route</x:v>
      </x:c>
      <x:c r="D2" s="44" t="str">
        <x:v>Retained</x:v>
      </x:c>
      <x:c r="E2" s="44" t="str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44" t="str">
        <x:v>SV-02</x:v>
      </x:c>
      <x:c r="B3" s="44" t="str">
        <x:v>“horizontal logistics collaboration” AND SME AND food</x:v>
      </x:c>
      <x:c r="C3" s="44" t="str">
        <x:v>Continued evidence search / reproducible search route</x:v>
      </x:c>
      <x:c r="D3" s="44" t="str">
        <x:v>Retained</x:v>
      </x:c>
      <x:c r="E3" s="44" t="str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4" t="str">
        <x:v>SV-03</x:v>
      </x:c>
      <x:c r="B4" s="44" t="str">
        <x:v>“perishable products” AND “horizontal collaboration” AND routing</x:v>
      </x:c>
      <x:c r="C4" s="44" t="str">
        <x:v>Continued evidence search / reproducible search route</x:v>
      </x:c>
      <x:c r="D4" s="44" t="str">
        <x:v>Retained</x:v>
      </x:c>
      <x:c r="E4" s="44" t="str"/>
      <x:c r="F4" s="39"/>
      <x:c r="G4" s="39"/>
      <x:c r="H4" s="39"/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44" t="str">
        <x:v>SV-04</x:v>
      </x:c>
      <x:c r="B5" s="44" t="str">
        <x:v>“urban consolidation centre” AND financial viability</x:v>
      </x:c>
      <x:c r="C5" s="44" t="str">
        <x:v>Continued evidence search / reproducible search route</x:v>
      </x:c>
      <x:c r="D5" s="44" t="str">
        <x:v>Retained</x:v>
      </x:c>
      <x:c r="E5" s="44" t="str"/>
      <x:c r="F5" s="39"/>
      <x:c r="G5" s="39"/>
      <x:c r="H5" s="39"/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44" t="str">
        <x:v>SV-05</x:v>
      </x:c>
      <x:c r="B6" s="44" t="str">
        <x:v>“freight consolidation” AND profitability AND fill rate</x:v>
      </x:c>
      <x:c r="C6" s="44" t="str">
        <x:v>Continued evidence search / reproducible search route</x:v>
      </x:c>
      <x:c r="D6" s="44" t="str">
        <x:v>Retained</x:v>
      </x:c>
      <x:c r="E6" s="44" t="str"/>
      <x:c r="F6" s="39"/>
      <x:c r="G6" s="39"/>
      <x:c r="H6" s="39"/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44" t="str">
        <x:v>SV-06</x:v>
      </x:c>
      <x:c r="B7" s="44" t="str">
        <x:v>UK food waste hospitality food service WRAP</x:v>
      </x:c>
      <x:c r="C7" s="44" t="str">
        <x:v>Continued evidence search / reproducible search route</x:v>
      </x:c>
      <x:c r="D7" s="44" t="str">
        <x:v>Retained</x:v>
      </x:c>
      <x:c r="E7" s="44" t="str"/>
      <x:c r="F7" s="39"/>
      <x:c r="G7" s="39"/>
      <x:c r="H7" s="39"/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44" t="str">
        <x:v>SV-07</x:v>
      </x:c>
      <x:c r="B8" s="44" t="str">
        <x:v>UK food SME cold chain logistics</x:v>
      </x:c>
      <x:c r="C8" s="44" t="str">
        <x:v>Continued evidence search / reproducible search route</x:v>
      </x:c>
      <x:c r="D8" s="44" t="str">
        <x:v>Retained</x:v>
      </x:c>
      <x:c r="E8" s="44" t="str"/>
      <x:c r="F8" s="39"/>
      <x:c r="G8" s="39"/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44" t="str">
        <x:v>SV-08</x:v>
      </x:c>
      <x:c r="B9" s="44" t="str">
        <x:v>food business chilled storage 8°C 5°C FSA</x:v>
      </x:c>
      <x:c r="C9" s="44" t="str">
        <x:v>Continued evidence search / reproducible search route</x:v>
      </x:c>
      <x:c r="D9" s="44" t="str">
        <x:v>Retained</x:v>
      </x:c>
      <x:c r="E9" s="44" t="str"/>
      <x:c r="F9" s="39"/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44" t="str">
        <x:v>SV-09</x:v>
      </x:c>
      <x:c r="B10" s="44" t="str">
        <x:v>foodservice wholesale delivery independent restaurants UK</x:v>
      </x:c>
      <x:c r="C10" s="44" t="str">
        <x:v>Continued evidence search / reproducible search route</x:v>
      </x:c>
      <x:c r="D10" s="44" t="str">
        <x:v>Retained</x:v>
      </x:c>
      <x:c r="E10" s="44" t="str"/>
      <x:c r="F10" s="39"/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44" t="str">
        <x:v>SV-10</x:v>
      </x:c>
      <x:c r="B11" s="44" t="str">
        <x:v>shared logistics trust information sharing SMEs</x:v>
      </x:c>
      <x:c r="C11" s="44" t="str">
        <x:v>Continued evidence search / reproducible search route</x:v>
      </x:c>
      <x:c r="D11" s="44" t="str">
        <x:v>Retained</x:v>
      </x:c>
      <x:c r="E11" s="44" t="str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pageMargins left="0.7" right="0.7" top="0.75" bottom="0.75" header="0.3" footer="0.3"/>
  <x:tableParts count="1">
    <x:tablePart xmlns:r="http://schemas.openxmlformats.org/officeDocument/2006/relationships" r:id="Rb773c9146c3543f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5" hidden="0" customWidth="1"/>
    <x:col min="3" max="3" width="65" hidden="0" customWidth="1"/>
    <x:col min="4" max="4" width="28" hidden="0" customWidth="1"/>
    <x:col min="5" max="5" width="40" hidden="0" customWidth="1"/>
  </x:cols>
  <x:sheetData>
    <x:row r="1">
      <x:c r="A1" s="60" t="str">
        <x:v>Ref ID</x:v>
      </x:c>
      <x:c r="B1" s="60" t="str">
        <x:v>Full reference</x:v>
      </x:c>
      <x:c r="C1" s="60" t="str">
        <x:v>Source URL / DOI</x:v>
      </x:c>
      <x:c r="D1" s="60" t="str">
        <x:v>Source class</x:v>
      </x:c>
      <x:c r="E1" s="60" t="str">
        <x:v>Use in FreshRoute</x:v>
      </x:c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44" t="str">
        <x:v>REF-01</x:v>
      </x:c>
      <x:c r="B2" s="44" t="str">
        <x:v>Aljohani, K. and Thompson, R.G. (2021) “Profitability of freight consolidation facilities: A detailed cost analysis based on theoretical modelling”, Research in Transportation Economics, 90, 101122. DOI: 10.1016/j.retrec.2021.101122.</x:v>
      </x:c>
      <x:c r="C2" s="44" t="str">
        <x:v>https://doi.org/10.1016/j.retrec.2021.101122</x:v>
      </x:c>
      <x:c r="D2" s="44" t="str">
        <x:v>Peer-reviewed journal</x:v>
      </x:c>
      <x:c r="E2" s="44" t="str">
        <x:v>Literature review / feasibility argument</x:v>
      </x:c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44" t="str">
        <x:v>REF-02</x:v>
      </x:c>
      <x:c r="B3" s="44" t="str">
        <x:v>Badraoui, I., Van der Vorst, J.G.A.J. and Boulaksil, Y. (2020) “Horizontal logistics collaboration: an exploratory study in Morocco’s agri-food supply chains”, International Journal of Logistics Research and Applications, 23(1), pp. 85–102. DOI: 10.1080/13675567.2019.1604646.</x:v>
      </x:c>
      <x:c r="C3" s="44" t="str">
        <x:v>https://doi.org/10.1080/13675567.2019.1604646</x:v>
      </x:c>
      <x:c r="D3" s="44" t="str">
        <x:v>Peer-reviewed journal</x:v>
      </x:c>
      <x:c r="E3" s="44" t="str">
        <x:v>Literature review / feasibility argument</x:v>
      </x:c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4" t="str">
        <x:v>REF-03</x:v>
      </x:c>
      <x:c r="B4" s="44" t="str">
        <x:v>Badraoui, I., van der Lans, I., Boulaksil, Y. and van der Vorst, J.G.A.J. (2022) “Antecedents of horizontal logistics collaboration in agri-food supply chains”, The International Journal of Logistics Management, 33(1), pp. 239–260. DOI: 10.1108/IJLM-09-2020-0362.</x:v>
      </x:c>
      <x:c r="C4" s="44" t="str">
        <x:v>https://doi.org/10.1108/IJLM-09-2020-0362</x:v>
      </x:c>
      <x:c r="D4" s="44" t="str">
        <x:v>Peer-reviewed journal</x:v>
      </x:c>
      <x:c r="E4" s="44" t="str">
        <x:v>Literature review / feasibility argument</x:v>
      </x:c>
      <x:c r="F4" s="39"/>
      <x:c r="G4" s="39"/>
      <x:c r="H4" s="39"/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44" t="str">
        <x:v>REF-04</x:v>
      </x:c>
      <x:c r="B5" s="44" t="str">
        <x:v>Badraoui, I., Boulaksil, Y. and van der Vorst, J.G.A.J. (2022) “A typology of horizontal logistics collaboration concepts: an illustrative case study from agri-food supply chains”, Benchmarking, 29(4), pp. 1214–1240. DOI: 10.1108/BIJ-02-2021-0082.</x:v>
      </x:c>
      <x:c r="C5" s="44" t="str">
        <x:v>https://doi.org/10.1108/BIJ-02-2021-0082</x:v>
      </x:c>
      <x:c r="D5" s="44" t="str">
        <x:v>Peer-reviewed journal</x:v>
      </x:c>
      <x:c r="E5" s="44" t="str">
        <x:v>Literature review / feasibility argument</x:v>
      </x:c>
      <x:c r="F5" s="39"/>
      <x:c r="G5" s="39"/>
      <x:c r="H5" s="39"/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44" t="str">
        <x:v>REF-05</x:v>
      </x:c>
      <x:c r="B6" s="44" t="str">
        <x:v>Bhattacharya, A. and Fayezi, S. (2021) “Ameliorating food loss and waste in the supply chain through multi-stakeholder collaboration”, Industrial Marketing Management, 93, pp. 328–343. DOI: 10.1016/j.indmarman.2021.01.009.</x:v>
      </x:c>
      <x:c r="C6" s="44" t="str">
        <x:v>https://doi.org/10.1016/j.indmarman.2021.01.009</x:v>
      </x:c>
      <x:c r="D6" s="44" t="str">
        <x:v>Peer-reviewed journal</x:v>
      </x:c>
      <x:c r="E6" s="44" t="str">
        <x:v>Literature review / feasibility argument</x:v>
      </x:c>
      <x:c r="F6" s="39"/>
      <x:c r="G6" s="39"/>
      <x:c r="H6" s="39"/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44" t="str">
        <x:v>REF-06</x:v>
      </x:c>
      <x:c r="B7" s="44" t="str">
        <x:v>Björklund, M. (2018) “Urban consolidation centre – a literature review, categorisation, and a future research agenda”, International Journal of Physical Distribution &amp; Logistics Management, 48(8), pp. 745–764. DOI: 10.1108/IJPDLM-01-2017-0050.</x:v>
      </x:c>
      <x:c r="C7" s="44" t="str">
        <x:v>https://doi.org/10.1108/IJPDLM-01-2017-0050</x:v>
      </x:c>
      <x:c r="D7" s="44" t="str">
        <x:v>Peer-reviewed journal</x:v>
      </x:c>
      <x:c r="E7" s="44" t="str">
        <x:v>Literature review / feasibility argument</x:v>
      </x:c>
      <x:c r="F7" s="39"/>
      <x:c r="G7" s="39"/>
      <x:c r="H7" s="39"/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44" t="str">
        <x:v>REF-07</x:v>
      </x:c>
      <x:c r="B8" s="44" t="str">
        <x:v>Björklund, M., Abrahamsson, M. and Johansson, H. (2017) “Critical factors for viable business models for urban consolidation centres”, Research in Transportation Economics, 64, pp. 36–47. DOI: 10.1016/j.retrec.2017.09.009.</x:v>
      </x:c>
      <x:c r="C8" s="44" t="str">
        <x:v>https://doi.org/10.1016/j.retrec.2017.09.009</x:v>
      </x:c>
      <x:c r="D8" s="44" t="str">
        <x:v>Peer-reviewed journal</x:v>
      </x:c>
      <x:c r="E8" s="44" t="str">
        <x:v>Literature review / feasibility argument</x:v>
      </x:c>
      <x:c r="F8" s="39"/>
      <x:c r="G8" s="39"/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44" t="str">
        <x:v>REF-08</x:v>
      </x:c>
      <x:c r="B9" s="44" t="str">
        <x:v>Department for Business and Trade (2025) Business population estimates for the UK and regions 2025: statistical release.</x:v>
      </x:c>
      <x:c r="C9" s="44" t="str">
        <x:v>https://www.gov.uk/government/statistics/business-population-estimates-2025</x:v>
      </x:c>
      <x:c r="D9" s="44" t="str">
        <x:v>UK official statistics</x:v>
      </x:c>
      <x:c r="E9" s="44" t="str">
        <x:v>SME market context</x:v>
      </x:c>
      <x:c r="F9" s="39"/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44" t="str">
        <x:v>REF-09</x:v>
      </x:c>
      <x:c r="B10" s="44" t="str">
        <x:v>Department for Environment, Food &amp; Rural Affairs (2024) United Kingdom Food Security Report 2024: Theme 2 – UK Food Supply Sources.</x:v>
      </x:c>
      <x:c r="C10" s="44" t="str">
        <x:v>https://www.gov.uk/government/statistics/united-kingdom-food-security-report-2024/united-kingdom-food-security-report-2024-theme-2-uk-food-supply-sources</x:v>
      </x:c>
      <x:c r="D10" s="44" t="str">
        <x:v>UK government statistics</x:v>
      </x:c>
      <x:c r="E10" s="44" t="str">
        <x:v>Food-waste baseline</x:v>
      </x:c>
      <x:c r="F10" s="39"/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44" t="str">
        <x:v>REF-10</x:v>
      </x:c>
      <x:c r="B11" s="44" t="str">
        <x:v>Dreischerf, A. and Buijs, P. (2022) “How Urban Consolidation Centres affect distribution networks: An empirical investigation from the perspective of suppliers”, Case Studies on Transport Policy, 10(1), pp. 518–528. DOI: 10.1016/j.cstp.2022.01.012.</x:v>
      </x:c>
      <x:c r="C11" s="44" t="str">
        <x:v>https://doi.org/10.1016/j.cstp.2022.01.012</x:v>
      </x:c>
      <x:c r="D11" s="44" t="str">
        <x:v>Peer-reviewed journal</x:v>
      </x:c>
      <x:c r="E11" s="44" t="str">
        <x:v>Literature review / feasibility argument</x:v>
      </x:c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44" t="str">
        <x:v>REF-11</x:v>
      </x:c>
      <x:c r="B12" s="44" t="str">
        <x:v>Food Standards Agency (2023) Storing chilled foods at incorrect temperatures. Updated 31 October 2023.</x:v>
      </x:c>
      <x:c r="C12" s="44" t="str">
        <x:v>https://www.food.gov.uk/research/behaviour-and-perception/storing-chilled-foods-at-incorrect-temperatures</x:v>
      </x:c>
      <x:c r="D12" s="44" t="str">
        <x:v>UK regulatory / food-safety guidance</x:v>
      </x:c>
      <x:c r="E12" s="44" t="str">
        <x:v>Cold-chain constraint</x:v>
      </x:c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44" t="str">
        <x:v>REF-12</x:v>
      </x:c>
      <x:c r="B13" s="44" t="str">
        <x:v>Food Standards Agency / GOV.UK (2023) Starting a food business. Published 10 January 2023.</x:v>
      </x:c>
      <x:c r="C13" s="44" t="str">
        <x:v>https://www.gov.uk/guidance/starting-a-food-business</x:v>
      </x:c>
      <x:c r="D13" s="44" t="str">
        <x:v>UK regulatory guidance</x:v>
      </x:c>
      <x:c r="E13" s="44" t="str">
        <x:v>Food-business compliance</x:v>
      </x:c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44" t="str">
        <x:v>REF-13</x:v>
      </x:c>
      <x:c r="B14" s="44" t="str">
        <x:v>Karam, A., Reinau, K.H. and Østergaard, C.R. (2021) “Horizontal collaboration in the freight transport sector: barrier and decision-making frameworks”, European Transport Research Review, 13, 53. DOI: 10.1186/s12544-021-00512-3.</x:v>
      </x:c>
      <x:c r="C14" s="44" t="str">
        <x:v>https://doi.org/10.1186/s12544-021-00512-3</x:v>
      </x:c>
      <x:c r="D14" s="44" t="str">
        <x:v>Peer-reviewed journal</x:v>
      </x:c>
      <x:c r="E14" s="44" t="str">
        <x:v>Literature review / feasibility argument</x:v>
      </x:c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44" t="str">
        <x:v>REF-14</x:v>
      </x:c>
      <x:c r="B15" s="44" t="str">
        <x:v>Mohamadi, N., Transchel, S. and Fransoo, J.C. (2025) “Coordinate or collaborate? Reducing food waste in perishable-product supply chains”, European Journal of Operational Research, 323(3), pp. 795–809. DOI: 10.1016/j.ejor.2024.12.039.</x:v>
      </x:c>
      <x:c r="C15" s="44" t="str">
        <x:v>https://doi.org/10.1016/j.ejor.2024.12.039</x:v>
      </x:c>
      <x:c r="D15" s="44" t="str">
        <x:v>Peer-reviewed journal</x:v>
      </x:c>
      <x:c r="E15" s="44" t="str">
        <x:v>Literature review / feasibility argument</x:v>
      </x:c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44" t="str">
        <x:v>REF-15</x:v>
      </x:c>
      <x:c r="B16" s="44" t="str">
        <x:v>Soysal, M., Bloemhof-Ruwaard, J.M., Haijema, R. and van der Vorst, J.G.A.J. (2018) “Modeling a green inventory routing problem for perishable products with horizontal collaboration”, Computers &amp; Operations Research, 89, pp. 168–182. DOI: 10.1016/j.cor.2016.02.003.</x:v>
      </x:c>
      <x:c r="C16" s="44" t="str">
        <x:v>https://doi.org/10.1016/j.cor.2016.02.003</x:v>
      </x:c>
      <x:c r="D16" s="44" t="str">
        <x:v>Peer-reviewed journal</x:v>
      </x:c>
      <x:c r="E16" s="44" t="str">
        <x:v>Literature review / feasibility argument</x:v>
      </x:c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44" t="str">
        <x:v>REF-16</x:v>
      </x:c>
      <x:c r="B17" s="44" t="str">
        <x:v>United Nations (2015) Transforming our world: the 2030 Agenda for Sustainable Development, Goal 12, Target 12.3.</x:v>
      </x:c>
      <x:c r="C17" s="44" t="str">
        <x:v>https://sdgs.un.org/goals/goal12</x:v>
      </x:c>
      <x:c r="D17" s="44" t="str">
        <x:v>International policy</x:v>
      </x:c>
      <x:c r="E17" s="44" t="str">
        <x:v>SDG 12.3 policy context</x:v>
      </x:c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44" t="str">
        <x:v>REF-17</x:v>
      </x:c>
      <x:c r="B18" s="44" t="str">
        <x:v>WRAP (2024) The Food Waste Reduction Roadmap: Progress Update 2024.</x:v>
      </x:c>
      <x:c r="C18" s="44" t="str">
        <x:v>https://www.wrap.ngo/resources/report/food-waste-reduction-roadmap-progress-update-2024</x:v>
      </x:c>
      <x:c r="D18" s="44" t="str">
        <x:v>UK industry / NGO evidence</x:v>
      </x:c>
      <x:c r="E18" s="44" t="str">
        <x:v>Food-waste action framework</x:v>
      </x:c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44" t="str">
        <x:v>REF-18</x:v>
      </x:c>
      <x:c r="B19" s="44" t="str">
        <x:v>WRAP (2025) UK Food Waste &amp; Food Surplus – Key Facts.</x:v>
      </x:c>
      <x:c r="C19" s="44" t="str">
        <x:v>https://www.wrap.ngo/resources/report/uk-food-waste-food-surplus-key-facts</x:v>
      </x:c>
      <x:c r="D19" s="44" t="str">
        <x:v>UK industry / NGO evidence</x:v>
      </x:c>
      <x:c r="E19" s="44" t="str">
        <x:v>Food-waste statistics</x:v>
      </x:c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44" t="str">
        <x:v>REF-19</x:v>
      </x:c>
      <x:c r="B20" s="44" t="str">
        <x:v>Booker Wholesale (2026) Catering and delivery service information, official company website.</x:v>
      </x:c>
      <x:c r="C20" s="44" t="str">
        <x:v>https://www.booker.co.uk/catering</x:v>
      </x:c>
      <x:c r="D20" s="44" t="str">
        <x:v>Official company source</x:v>
      </x:c>
      <x:c r="E20" s="44" t="str">
        <x:v>Competitor / substitute mapping</x:v>
      </x:c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44" t="str">
        <x:v>REF-20</x:v>
      </x:c>
      <x:c r="B21" s="44" t="str">
        <x:v>Brakes Foodservice (2026) Wholesale foodservice and restaurant delivery information, official company website.</x:v>
      </x:c>
      <x:c r="C21" s="44" t="str">
        <x:v>https://www.brake.co.uk/why-brakes/restaurants</x:v>
      </x:c>
      <x:c r="D21" s="44" t="str">
        <x:v>Official company source</x:v>
      </x:c>
      <x:c r="E21" s="44" t="str">
        <x:v>Competitor / substitute mapping</x:v>
      </x:c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44" t="str">
        <x:v>REF-21</x:v>
      </x:c>
      <x:c r="B22" s="44" t="str">
        <x:v>Bidfood (2026) About us / What we do, official company website.</x:v>
      </x:c>
      <x:c r="C22" s="44" t="str">
        <x:v>https://www.bidfood.co.uk/what-we-do/</x:v>
      </x:c>
      <x:c r="D22" s="44" t="str">
        <x:v>Official company source</x:v>
      </x:c>
      <x:c r="E22" s="44" t="str">
        <x:v>Competitor / substitute mapping</x:v>
      </x:c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44" t="str">
        <x:v>REF-22</x:v>
      </x:c>
      <x:c r="B23" s="44" t="str">
        <x:v>Dyer, J. H., &amp; Singh, H. (1998). The relational view: Cooperative strategy and sources of interorganizational competitive advantage. Academy of Management Review, 23(4), 660-679.</x:v>
      </x:c>
      <x:c r="C23" s="44" t="str">
        <x:v>https://doi.org/10.5465/AMR.1998.1255632</x:v>
      </x:c>
      <x:c r="D23" s="44" t="str">
        <x:v>Peer-reviewed theory</x:v>
      </x:c>
      <x:c r="E23" s="44" t="str">
        <x:v>Relational governance framework</x:v>
      </x:c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44" t="str">
        <x:v>REF-23</x:v>
      </x:c>
      <x:c r="B24" s="44" t="str">
        <x:v>Food Standards Agency. Register a food business; Food safety for food delivery.</x:v>
      </x:c>
      <x:c r="C24" s="44" t="str">
        <x:v>https://register.food.gov.uk/new | https://www.gov.uk/government/publications/food-safety-for-food-delivery/food-safety-for-food-delivery</x:v>
      </x:c>
      <x:c r="D24" s="44" t="str">
        <x:v>UK regulatory guidance</x:v>
      </x:c>
      <x:c r="E24" s="44" t="str">
        <x:v>Registration, HACCP, transport hygiene and cross-contamination</x:v>
      </x:c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44" t="str">
        <x:v>REF-24</x:v>
      </x:c>
      <x:c r="B25" s="44" t="str">
        <x:v>UKHospitality. (2026). Smarter purchasing to manage pressures in the UK hospitality market.</x:v>
      </x:c>
      <x:c r="C25" s="44" t="str">
        <x:v>https://www.ukhospitality.org.uk/smarter-purchasing-to-manage-pressures-in-the-uk-hospitality-market/</x:v>
      </x:c>
      <x:c r="D25" s="44" t="str">
        <x:v>UK hospitality sector evidence</x:v>
      </x:c>
      <x:c r="E25" s="44" t="str">
        <x:v>Supplier fragmentation, delivery-day and MOQ context</x:v>
      </x:c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pageMargins left="0.7" right="0.7" top="0.75" bottom="0.75" header="0.3" footer="0.3"/>
  <x:tableParts count="1">
    <x:tablePart xmlns:r="http://schemas.openxmlformats.org/officeDocument/2006/relationships" r:id="Rbec05eeafc9642c5"/>
  </x:tableParts>
</x:worksheet>
</file>