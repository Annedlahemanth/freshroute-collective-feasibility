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74f77dbd9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b440135fb44cd9"/>
    <x:sheet xmlns:r="http://schemas.openxmlformats.org/officeDocument/2006/relationships" name="Secondary Data" sheetId="2" r:id="R138a613507484d5e"/>
    <x:sheet xmlns:r="http://schemas.openxmlformats.org/officeDocument/2006/relationships" name="Route Cost Build" sheetId="3" r:id="Ra3c78a2b68024942"/>
    <x:sheet xmlns:r="http://schemas.openxmlformats.org/officeDocument/2006/relationships" name="Assumptions" sheetId="4" r:id="R3f928c2e395843f4"/>
    <x:sheet xmlns:r="http://schemas.openxmlformats.org/officeDocument/2006/relationships" name="Unit Economics" sheetId="5" r:id="Rbaee18bb0f384546"/>
    <x:sheet xmlns:r="http://schemas.openxmlformats.org/officeDocument/2006/relationships" name="Sensitivity" sheetId="6" r:id="Rcf5ed2c04de8430f"/>
    <x:sheet xmlns:r="http://schemas.openxmlformats.org/officeDocument/2006/relationships" name="Competitor Benchmark" sheetId="7" r:id="Ree2836f5ab234978"/>
    <x:sheet xmlns:r="http://schemas.openxmlformats.org/officeDocument/2006/relationships" name="Findings Matrix" sheetId="8" r:id="Ref768beee2014be1"/>
    <x:sheet xmlns:r="http://schemas.openxmlformats.org/officeDocument/2006/relationships" name="Operations Plan" sheetId="9" r:id="R4fbe78805ef34391"/>
    <x:sheet xmlns:r="http://schemas.openxmlformats.org/officeDocument/2006/relationships" name="Marketing &amp; Sales" sheetId="10" r:id="R97396e5f9b664bce"/>
    <x:sheet xmlns:r="http://schemas.openxmlformats.org/officeDocument/2006/relationships" name="Implementation" sheetId="11" r:id="R4eaa8abbcb45481f"/>
    <x:sheet xmlns:r="http://schemas.openxmlformats.org/officeDocument/2006/relationships" name="Risk Register" sheetId="12" r:id="Ra0180f464822421b"/>
    <x:sheet xmlns:r="http://schemas.openxmlformats.org/officeDocument/2006/relationships" name="Artefact KPI Spec" sheetId="13" r:id="R29cd5eb67f4c4d1c"/>
    <x:sheet xmlns:r="http://schemas.openxmlformats.org/officeDocument/2006/relationships" name="Research Log" sheetId="14" r:id="Rc5aa394020b84751"/>
    <x:sheet xmlns:r="http://schemas.openxmlformats.org/officeDocument/2006/relationships" name="Source Register" sheetId="15" r:id="Rae61c10fd19c4b42"/>
    <x:sheet xmlns:r="http://schemas.openxmlformats.org/officeDocument/2006/relationships" name="Route Feasibility" sheetId="16" r:id="R23c66c9439024471"/>
    <x:sheet xmlns:r="http://schemas.openxmlformats.org/officeDocument/2006/relationships" name="Market Sizing" sheetId="17" r:id="R786d4de6143d4cfc"/>
    <x:sheet xmlns:r="http://schemas.openxmlformats.org/officeDocument/2006/relationships" name="Compliance Matrix" sheetId="18" r:id="Rb938e71ef1794fe1"/>
    <x:sheet xmlns:r="http://schemas.openxmlformats.org/officeDocument/2006/relationships" name="STP &amp; Funnel" sheetId="19" r:id="Rdf38623761024e2a"/>
    <x:sheet xmlns:r="http://schemas.openxmlformats.org/officeDocument/2006/relationships" name="Forecast" sheetId="20" r:id="Rd4f51b328a1b4a45"/>
    <x:sheet xmlns:r="http://schemas.openxmlformats.org/officeDocument/2006/relationships" name="Method Audit" sheetId="21" r:id="Ra74fe041d9614511"/>
    <x:sheet xmlns:r="http://schemas.openxmlformats.org/officeDocument/2006/relationships" name="3PL Cost Envelope" sheetId="22" r:id="Rfb4cdf92ddbe4f68"/>
    <x:sheet xmlns:r="http://schemas.openxmlformats.org/officeDocument/2006/relationships" name="Customer Cost Comparator" sheetId="23" r:id="R6a2ea138d0c147bd"/>
    <x:sheet xmlns:r="http://schemas.openxmlformats.org/officeDocument/2006/relationships" name="Artifact Guide" sheetId="24" r:id="Rbb833dacf6eb4a90"/>
    <x:sheet xmlns:r="http://schemas.openxmlformats.org/officeDocument/2006/relationships" name="Assumptions Register" sheetId="25" r:id="R9534fda55dc948c6"/>
    <x:sheet xmlns:r="http://schemas.openxmlformats.org/officeDocument/2006/relationships" name="Business Model Canvas" sheetId="26" r:id="R73820ab9adca4627"/>
  </x:sheets>
</x:workbook>
</file>

<file path=xl/sharedStrings.xml><?xml version="1.0" encoding="utf-8"?>
<x:sst xmlns:x="http://schemas.openxmlformats.org/spreadsheetml/2006/main">
  <x:si>
    <x:t xml:space="preserve">FreshRoute Collective - Coventry Feasibility Dashboard</x:t>
  </x:si>
  <x:si>
    <x:t xml:space="preserve">80-100 readiness controls</x:t>
  </x:si>
  <x:si>
    <x:t xml:space="preserve">Hemanth Reddy Annedla | 16880887 | 7001SOM Route 3</x:t>
  </x:si>
  <x:si>
    <x:t xml:space="preserve">Commercial decision controls</x:t>
  </x:si>
  <x:si>
    <x:t xml:space="preserve">Result</x:t>
  </x:si>
  <x:si>
    <x:t xml:space="preserve">Market / regulatory evidence</x:t>
  </x:si>
  <x:si>
    <x:t xml:space="preserve">Current value</x:t>
  </x:si>
  <x:si>
    <x:t xml:space="preserve">£25/drop threshold case</x:t>
  </x:si>
  <x:si>
    <x:t xml:space="preserve">Model output</x:t>
  </x:si>
  <x:si>
    <x:t xml:space="preserve">Base route hours</x:t>
  </x:si>
  <x:si>
    <x:t xml:space="preserve">Coventry FSA-listed food businesses</x:t>
  </x:si>
  <x:si>
    <x:t xml:space="preserve">Active SMEs</x:t>
  </x:si>
  <x:si>
    <x:t xml:space="preserve">Base route feasible?</x:t>
  </x:si>
  <x:si>
    <x:t xml:space="preserve">Coventry enterprises (all sectors)</x:t>
  </x:si>
  <x:si>
    <x:t xml:space="preserve">Monthly revenue</x:t>
  </x:si>
  <x:si>
    <x:t xml:space="preserve">Physical customer ceiling</x:t>
  </x:si>
  <x:si>
    <x:t xml:space="preserve">Coventry micro-enterprise share</x:t>
  </x:si>
  <x:si>
    <x:t xml:space="preserve">Monthly route cost</x:t>
  </x:si>
  <x:si>
    <x:t xml:space="preserve">3PL route-cost ceiling @ £25/drop</x:t>
  </x:si>
  <x:si>
    <x:t xml:space="preserve">UK food waste (2021, million tonnes)</x:t>
  </x:si>
  <x:si>
    <x:t xml:space="preserve">Monthly fixed overhead</x:t>
  </x:si>
  <x:si>
    <x:t xml:space="preserve">Required fee for 15% margin @ £275/day</x:t>
  </x:si>
  <x:si>
    <x:t xml:space="preserve">HaFS food waste (million tonnes)</x:t>
  </x:si>
  <x:si>
    <x:t xml:space="preserve">Monthly EBITDA</x:t>
  </x:si>
  <x:si>
    <x:t xml:space="preserve">Year-1 stress-case EBITDA</x:t>
  </x:si>
  <x:si>
    <x:t xml:space="preserve">Legal chilled-food maximum</x:t>
  </x:si>
  <x:si>
    <x:t xml:space="preserve">EBITDA margin</x:t>
  </x:si>
  <x:si>
    <x:t xml:space="preserve">Stress-case funding buffer</x:t>
  </x:si>
  <x:si>
    <x:t xml:space="preserve">Break-even active SMEs</x:t>
  </x:si>
  <x:si>
    <x:t xml:space="preserve">Decision logic</x:t>
  </x:si>
  <x:si>
    <x:t xml:space="preserve">Interpretation</x:t>
  </x:si>
  <x:si>
    <x:t xml:space="preserve">Key operating thresholds</x:t>
  </x:si>
  <x:si>
    <x:t xml:space="preserve">Value</x:t>
  </x:si>
  <x:si>
    <x:t xml:space="preserve">Problem exists</x:t>
  </x:si>
  <x:si>
    <x:t xml:space="preserve">Supported: material UK food-waste burden and 3,015 registered Coventry food businesses; the serviceable segment still requires screening.</x:t>
  </x:si>
  <x:si>
    <x:t xml:space="preserve">FSA operating target</x:t>
  </x:si>
  <x:si>
    <x:t xml:space="preserve">Cold-chain constraint</x:t>
  </x:si>
  <x:si>
    <x:t xml:space="preserve">Supported: chilled food below 8°C; 5°C or below is the operating target, alongside registration, hygiene, traceability and custody controls.</x:t>
  </x:si>
  <x:si>
    <x:t xml:space="preserve">Contracted 3PL route cost / day</x:t>
  </x:si>
  <x:si>
    <x:t xml:space="preserve">Collaboration potential</x:t>
  </x:si>
  <x:si>
    <x:t xml:space="preserve">Supported conditionally: benefits depend on information routines, governance, compatible flows and customer density.</x:t>
  </x:si>
  <x:si>
    <x:t xml:space="preserve">Monthly drops at 21 SMEs</x:t>
  </x:si>
  <x:si>
    <x:t xml:space="preserve">Commercial viability</x:t>
  </x:si>
  <x:si>
    <x:t xml:space="preserve">Current £25/drop / £275 route-day case is only around break-even at the three-route physical ceiling; it is not scale-ready.</x:t>
  </x:si>
  <x:si>
    <x:t xml:space="preserve">Contribution / active SME</x:t>
  </x:si>
  <x:si>
    <x:t xml:space="preserve">Competitive gap</x:t>
  </x:si>
  <x:si>
    <x:t xml:space="preserve">Narrow: FreshRoute is relevant only where SMEs deliberately retain multiple local/specialist suppliers and existing delivery/self-collection remains fragmented.</x:t>
  </x:si>
  <x:si>
    <x:t xml:space="preserve">Current decision</x:t>
  </x:si>
  <x:si>
    <x:t xml:space="preserve">Threshold case only - not scale-ready</x:t>
  </x:si>
  <x:si>
    <x:t xml:space="preserve">Recommended next step</x:t>
  </x:si>
  <x:si>
    <x:t xml:space="preserve">Validate the 3PL route quote, price acceptance, qualified cluster, receiving windows and payload before a controlled pilot.</x:t>
  </x:si>
  <x:si>
    <x:t xml:space="preserve">ID</x:t>
  </x:si>
  <x:si>
    <x:t xml:space="preserve">Theme</x:t>
  </x:si>
  <x:si>
    <x:t xml:space="preserve">Metric / evidence</x:t>
  </x:si>
  <x:si>
    <x:t xml:space="preserve">Unit</x:t>
  </x:si>
  <x:si>
    <x:t xml:space="preserve">Geography / period</x:t>
  </x:si>
  <x:si>
    <x:t xml:space="preserve">Source type</x:t>
  </x:si>
  <x:si>
    <x:t xml:space="preserve">Use in analysis</x:t>
  </x:si>
  <x:si>
    <x:t xml:space="preserve">Limitation</x:t>
  </x:si>
  <x:si>
    <x:t xml:space="preserve">Source URL</x:t>
  </x:si>
  <x:si>
    <x:t xml:space="preserve">SD01</x:t>
  </x:si>
  <x:si>
    <x:t xml:space="preserve">Local market</x:t>
  </x:si>
  <x:si>
    <x:t xml:space="preserve">FSA-listed food businesses</x:t>
  </x:si>
  <x:si>
    <x:t xml:space="preserve">businesses</x:t>
  </x:si>
  <x:si>
    <x:t xml:space="preserve">Regulator open data</x:t>
  </x:si>
  <x:si>
    <x:t xml:space="preserve">Local universe/context</x:t>
  </x:si>
  <x:si>
    <x:t xml:space="preserve">Includes many businesses outside target segment; not TAM/SAM.</x:t>
  </x:si>
  <x:si>
    <x:t xml:space="preserve">https://ratings.food.gov.uk/open-data?lang=en-US</x:t>
  </x:si>
  <x:si>
    <x:t xml:space="preserve">SD02</x:t>
  </x:si>
  <x:si>
    <x:t xml:space="preserve">Total enterprises</x:t>
  </x:si>
  <x:si>
    <x:t xml:space="preserve">enterprises</x:t>
  </x:si>
  <x:si>
    <x:t xml:space="preserve">Coventry; 2025</x:t>
  </x:si>
  <x:si>
    <x:t xml:space="preserve">Official statistics</x:t>
  </x:si>
  <x:si>
    <x:t xml:space="preserve">Business-density context</x:t>
  </x:si>
  <x:si>
    <x:t xml:space="preserve">All sectors.</x:t>
  </x:si>
  <x:si>
    <x:t xml:space="preserve">https://www.nomisweb.co.uk/reports/lmp/lad/1778385148/report.aspx</x:t>
  </x:si>
  <x:si>
    <x:t xml:space="preserve">SD03</x:t>
  </x:si>
  <x:si>
    <x:t xml:space="preserve">Micro enterprises</x:t>
  </x:si>
  <x:si>
    <x:t xml:space="preserve">SME capability context</x:t>
  </x:si>
  <x:si>
    <x:t xml:space="preserve">SD04</x:t>
  </x:si>
  <x:si>
    <x:t xml:space="preserve">Micro-enterprise share</x:t>
  </x:si>
  <x:si>
    <x:t xml:space="preserve">%</x:t>
  </x:si>
  <x:si>
    <x:t xml:space="preserve">Resource-constraint context</x:t>
  </x:si>
  <x:si>
    <x:t xml:space="preserve">All sectors; not food-specific.</x:t>
  </x:si>
  <x:si>
    <x:t xml:space="preserve">SD05</x:t>
  </x:si>
  <x:si>
    <x:t xml:space="preserve">Food waste</x:t>
  </x:si>
  <x:si>
    <x:t xml:space="preserve">Total UK food waste</x:t>
  </x:si>
  <x:si>
    <x:t xml:space="preserve">million tonnes</x:t>
  </x:si>
  <x:si>
    <x:t xml:space="preserve">UK; 2021</x:t>
  </x:si>
  <x:si>
    <x:t xml:space="preserve">Government statistics</x:t>
  </x:si>
  <x:si>
    <x:t xml:space="preserve">Problem scale</x:t>
  </x:si>
  <x:si>
    <x:t xml:space="preserve">National aggregate.</x:t>
  </x:si>
  <x:si>
    <x:t xml:space="preserve">https://www.gov.uk/government/statistics/united-kingdom-food-security-report-2024/united-kingdom-food-security-report-2024-theme-2-uk-food-supply-sources</x:t>
  </x:si>
  <x:si>
    <x:t xml:space="preserve">SD06</x:t>
  </x:si>
  <x:si>
    <x:t xml:space="preserve">Hospitality &amp; food service waste</x:t>
  </x:si>
  <x:si>
    <x:t xml:space="preserve">Sector problem scale</x:t>
  </x:si>
  <x:si>
    <x:t xml:space="preserve">Does not isolate SMEs or logistics-caused waste.</x:t>
  </x:si>
  <x:si>
    <x:t xml:space="preserve">SD07</x:t>
  </x:si>
  <x:si>
    <x:t xml:space="preserve">Retail food waste</x:t>
  </x:si>
  <x:si>
    <x:t xml:space="preserve">Sector comparison</x:t>
  </x:si>
  <x:si>
    <x:t xml:space="preserve">Does not isolate independent retailers.</x:t>
  </x:si>
  <x:si>
    <x:t xml:space="preserve">SD08</x:t>
  </x:si>
  <x:si>
    <x:t xml:space="preserve">HaFS annual food-waste cost</x:t>
  </x:si>
  <x:si>
    <x:t xml:space="preserve">£ / year</x:t>
  </x:si>
  <x:si>
    <x:t xml:space="preserve">UK; current WRAP page</x:t>
  </x:si>
  <x:si>
    <x:t xml:space="preserve">WRAP</x:t>
  </x:si>
  <x:si>
    <x:t xml:space="preserve">Commercial value-pool context</x:t>
  </x:si>
  <x:si>
    <x:t xml:space="preserve">Sector-wide; not attributable to FreshRoute.</x:t>
  </x:si>
  <x:si>
    <x:t xml:space="preserve">https://www.wrap.ngo/taking-action/food-drink/sectors/hospitality-food-service</x:t>
  </x:si>
  <x:si>
    <x:t xml:space="preserve">SD09</x:t>
  </x:si>
  <x:si>
    <x:t xml:space="preserve">Average annual cost per HaFS outlet</x:t>
  </x:si>
  <x:si>
    <x:t xml:space="preserve">£ / outlet / year</x:t>
  </x:si>
  <x:si>
    <x:t xml:space="preserve">UK; WRAP</x:t>
  </x:si>
  <x:si>
    <x:t xml:space="preserve">Illustrative burden</x:t>
  </x:si>
  <x:si>
    <x:t xml:space="preserve">Sector average; not a Coventry SME estimate.</x:t>
  </x:si>
  <x:si>
    <x:t xml:space="preserve">SD10</x:t>
  </x:si>
  <x:si>
    <x:t xml:space="preserve">Share of HaFS food waste that could have been eaten</x:t>
  </x:si>
  <x:si>
    <x:t xml:space="preserve">UK; WRAP 2024</x:t>
  </x:si>
  <x:si>
    <x:t xml:space="preserve">Prevention context</x:t>
  </x:si>
  <x:si>
    <x:t xml:space="preserve">Avoidable does not equal logistics-preventable.</x:t>
  </x:si>
  <x:si>
    <x:t xml:space="preserve">https://www.wrap.ngo/media-centre/press-releases/wrap-urges-hospitality-and-food-service-ceos-and-leaders-take-stand</x:t>
  </x:si>
  <x:si>
    <x:t xml:space="preserve">SD11</x:t>
  </x:si>
  <x:si>
    <x:t xml:space="preserve">Total cost per kg wasted can exceed</x:t>
  </x:si>
  <x:si>
    <x:t xml:space="preserve">£ / kg</x:t>
  </x:si>
  <x:si>
    <x:t xml:space="preserve">UK; WRAP 2025</x:t>
  </x:si>
  <x:si>
    <x:t xml:space="preserve">Total-cost framing</x:t>
  </x:si>
  <x:si>
    <x:t xml:space="preserve">Large foodservice emphasis; not direct FreshRoute saving.</x:t>
  </x:si>
  <x:si>
    <x:t xml:space="preserve">https://www.wrap.ngo/resources/report/bin-bottomline-cost-saving-food-waste-prevention-blueprint</x:t>
  </x:si>
  <x:si>
    <x:t xml:space="preserve">SD12</x:t>
  </x:si>
  <x:si>
    <x:t xml:space="preserve">Regulation</x:t>
  </x:si>
  <x:si>
    <x:t xml:space="preserve">Legal cold-food storage maximum</x:t>
  </x:si>
  <x:si>
    <x:t xml:space="preserve">°C</x:t>
  </x:si>
  <x:si>
    <x:t xml:space="preserve">England/Wales/NI</x:t>
  </x:si>
  <x:si>
    <x:t xml:space="preserve">Regulator</x:t>
  </x:si>
  <x:si>
    <x:t xml:space="preserve">Non-negotiable service design constraint</x:t>
  </x:si>
  <x:si>
    <x:t xml:space="preserve">Product/process-specific requirements may be stricter.</x:t>
  </x:si>
  <x:si>
    <x:t xml:space="preserve">https://www.food.gov.uk/research/behaviour-and-perception/storing-chilled-foods-at-incorrect-temperatures</x:t>
  </x:si>
  <x:si>
    <x:t xml:space="preserve">SD13</x:t>
  </x:si>
  <x:si>
    <x:t xml:space="preserve">Recommended fridge target</x:t>
  </x:si>
  <x:si>
    <x:t xml:space="preserve">Operating target for artefact / SOP</x:t>
  </x:si>
  <x:si>
    <x:t xml:space="preserve">Guidance target rather than universal statutory limit.</x:t>
  </x:si>
  <x:si>
    <x:t xml:space="preserve">SD14</x:t>
  </x:si>
  <x:si>
    <x:t xml:space="preserve">Labour</x:t>
  </x:si>
  <x:si>
    <x:t xml:space="preserve">National Living Wage</x:t>
  </x:si>
  <x:si>
    <x:t xml:space="preserve">£ / hour</x:t>
  </x:si>
  <x:si>
    <x:t xml:space="preserve">UK; from Apr 2026</x:t>
  </x:si>
  <x:si>
    <x:t xml:space="preserve">Government</x:t>
  </x:si>
  <x:si>
    <x:t xml:space="preserve">Route/coordinator labour floor</x:t>
  </x:si>
  <x:si>
    <x:t xml:space="preserve">Minimum rate, not market logistics wage.</x:t>
  </x:si>
  <x:si>
    <x:t xml:space="preserve">https://www.gov.uk/government/news/national-living-wage-increases-to-1271-per-hour</x:t>
  </x:si>
  <x:si>
    <x:t xml:space="preserve">SD15</x:t>
  </x:si>
  <x:si>
    <x:t xml:space="preserve">Employer NI rate above threshold</x:t>
  </x:si>
  <x:si>
    <x:t xml:space="preserve">UK; 2026/27</x:t>
  </x:si>
  <x:si>
    <x:t xml:space="preserve">Employer on-cost assumption</x:t>
  </x:si>
  <x:si>
    <x:t xml:space="preserve">Actual liability depends on pay pattern/thresholds.</x:t>
  </x:si>
  <x:si>
    <x:t xml:space="preserve">https://www.gov.uk/government/publications/rates-and-allowances-national-insurance-contributions/rates-and-allowances-national-insurance-contributions</x:t>
  </x:si>
  <x:si>
    <x:t xml:space="preserve">SD16</x:t>
  </x:si>
  <x:si>
    <x:t xml:space="preserve">Transport</x:t>
  </x:si>
  <x:si>
    <x:t xml:space="preserve">Refrigerated Transit-type van daily hire from</x:t>
  </x:si>
  <x:si>
    <x:t xml:space="preserve">£ / day excl VAT &amp; insurance</x:t>
  </x:si>
  <x:si>
    <x:t xml:space="preserve">Midlands public benchmark; current</x:t>
  </x:si>
  <x:si>
    <x:t xml:space="preserve">Commercial published tariff</x:t>
  </x:si>
  <x:si>
    <x:t xml:space="preserve">Route-cost benchmark</x:t>
  </x:si>
  <x:si>
    <x:t xml:space="preserve">Not Coventry quote; excludes VAT/insurance.</x:t>
  </x:si>
  <x:si>
    <x:t xml:space="preserve">https://hire.maunmotors.co.uk/body-style/refrigerated-vehicle/</x:t>
  </x:si>
  <x:si>
    <x:t xml:space="preserve">SD17</x:t>
  </x:si>
  <x:si>
    <x:t xml:space="preserve">UK diesel average</x:t>
  </x:si>
  <x:si>
    <x:t xml:space="preserve">£ / litre</x:t>
  </x:si>
  <x:si>
    <x:t xml:space="preserve">UK; week commencing 7 Sep 2026</x:t>
  </x:si>
  <x:si>
    <x:t xml:space="preserve">Official DESNZ series / republished current value</x:t>
  </x:si>
  <x:si>
    <x:t xml:space="preserve">Fuel-cost benchmark</x:t>
  </x:si>
  <x:si>
    <x:t xml:space="preserve">National average, not local pump price.</x:t>
  </x:si>
  <x:si>
    <x:t xml:space="preserve">https://www.gov.uk/government/statistics/weekly-road-fuel-prices</x:t>
  </x:si>
  <x:si>
    <x:t xml:space="preserve">SD18</x:t>
  </x:si>
  <x:si>
    <x:t xml:space="preserve">Competitor</x:t>
  </x:si>
  <x:si>
    <x:t xml:space="preserve">Booker Marketplace free delivery threshold</x:t>
  </x:si>
  <x:si>
    <x:t xml:space="preserve">£ / order</x:t>
  </x:si>
  <x:si>
    <x:t xml:space="preserve">UK; current</x:t>
  </x:si>
  <x:si>
    <x:t xml:space="preserve">Company website</x:t>
  </x:si>
  <x:si>
    <x:t xml:space="preserve">Competitor benchmark</x:t>
  </x:si>
  <x:si>
    <x:t xml:space="preserve">Marketplace proposition; may differ from branch delivery.</x:t>
  </x:si>
  <x:si>
    <x:t xml:space="preserve">https://www.booker.co.uk/catering</x:t>
  </x:si>
  <x:si>
    <x:t xml:space="preserve">SD19</x:t>
  </x:si>
  <x:si>
    <x:t xml:space="preserve">Bidfood published minimum spend example</x:t>
  </x:si>
  <x:si>
    <x:t xml:space="preserve">London page; current</x:t>
  </x:si>
  <x:si>
    <x:t xml:space="preserve">Minimum-order benchmark</x:t>
  </x:si>
  <x:si>
    <x:t xml:space="preserve">London-specific; cannot be assumed for Coventry.</x:t>
  </x:si>
  <x:si>
    <x:t xml:space="preserve">https://www.bidfood.co.uk/london/</x:t>
  </x:si>
  <x:si>
    <x:t xml:space="preserve">SD20</x:t>
  </x:si>
  <x:si>
    <x:t xml:space="preserve">Bidfood product range</x:t>
  </x:si>
  <x:si>
    <x:t xml:space="preserve">products +</x:t>
  </x:si>
  <x:si>
    <x:t xml:space="preserve">Incumbent-scale benchmark</x:t>
  </x:si>
  <x:si>
    <x:t xml:space="preserve">Company marketing source.</x:t>
  </x:si>
  <x:si>
    <x:t xml:space="preserve">https://www.bidfood.co.uk/</x:t>
  </x:si>
  <x:si>
    <x:t xml:space="preserve">SD21</x:t>
  </x:si>
  <x:si>
    <x:t xml:space="preserve">Bidfood customer base</x:t>
  </x:si>
  <x:si>
    <x:t xml:space="preserve">caterers / foodservice businesses +</x:t>
  </x:si>
  <x:si>
    <x:t xml:space="preserve">SD22</x:t>
  </x:si>
  <x:si>
    <x:t xml:space="preserve">Transport / pricing</x:t>
  </x:si>
  <x:si>
    <x:t xml:space="preserve">Refrigerated MWB hire comparator</x:t>
  </x:si>
  <x:si>
    <x:t xml:space="preserve">£ / day incl VAT, insurance, breakdown</x:t>
  </x:si>
  <x:si>
    <x:t xml:space="preserve">UK short-term 1-2 day published rate; current</x:t>
  </x:si>
  <x:si>
    <x:t xml:space="preserve">Cross-checks that the £70 ex-VAT/ex-insurance benchmark is a lower-bound vehicle-only input rather than a full operating route cost.</x:t>
  </x:si>
  <x:si>
    <x:t xml:space="preserve">Still vehicle hire, not a contracted FreshRoute 3PL route quotation.</x:t>
  </x:si>
  <x:si>
    <x:t xml:space="preserve">https://www.vmsvehiclehire.co.uk/refrigerated-van-hire</x:t>
  </x:si>
  <x:si>
    <x:t xml:space="preserve">Refrigerated Route-Day Cost Build</x:t>
  </x:si>
  <x:si>
    <x:t xml:space="preserve">Input</x:t>
  </x:si>
  <x:si>
    <x:t xml:space="preserve">Evidence / treatment</x:t>
  </x:si>
  <x:si>
    <x:t xml:space="preserve">Refrigerated van hire</x:t>
  </x:si>
  <x:si>
    <x:t xml:space="preserve">£ / day</x:t>
  </x:si>
  <x:si>
    <x:t xml:space="preserve">Published Midlands benchmark; excludes VAT and insurance</x:t>
  </x:si>
  <x:si>
    <x:t xml:space="preserve">Driver hours</x:t>
  </x:si>
  <x:si>
    <x:t xml:space="preserve">hours / route day</x:t>
  </x:si>
  <x:si>
    <x:t xml:space="preserve">Scenario assumption</x:t>
  </x:si>
  <x:si>
    <x:t xml:space="preserve">Hourly wage</x:t>
  </x:si>
  <x:si>
    <x:t xml:space="preserve">2026 National Living Wage floor</x:t>
  </x:si>
  <x:si>
    <x:t xml:space="preserve">Employer NI rate</x:t>
  </x:si>
  <x:si>
    <x:t xml:space="preserve">2026/27 rate above threshold; conservative allocation</x:t>
  </x:si>
  <x:si>
    <x:t xml:space="preserve">Route distance</x:t>
  </x:si>
  <x:si>
    <x:t xml:space="preserve">km / route day</x:t>
  </x:si>
  <x:si>
    <x:t xml:space="preserve">Fuel economy</x:t>
  </x:si>
  <x:si>
    <x:t xml:space="preserve">UK mpg</x:t>
  </x:si>
  <x:si>
    <x:t xml:space="preserve">Diesel price</x:t>
  </x:si>
  <x:si>
    <x:t xml:space="preserve">UK weekly average, w/c 7 Sep 2026</x:t>
  </x:si>
  <x:si>
    <x:t xml:space="preserve">Insurance / misc. vehicle allowance</x:t>
  </x:si>
  <x:si>
    <x:t xml:space="preserve">£ / route day</x:t>
  </x:si>
  <x:si>
    <x:t xml:space="preserve">Scenario allowance because published van tariff excludes insurance</x:t>
  </x:si>
  <x:si>
    <x:t xml:space="preserve">Litres used</x:t>
  </x:si>
  <x:si>
    <x:t xml:space="preserve">litres</x:t>
  </x:si>
  <x:si>
    <x:t xml:space="preserve">Formula</x:t>
  </x:si>
  <x:si>
    <x:t xml:space="preserve">Driver wage</x:t>
  </x:si>
  <x:si>
    <x:t xml:space="preserve">Total route-day cost</x:t>
  </x:si>
  <x:si>
    <x:t xml:space="preserve">Why bottom-up?</x:t>
  </x:si>
  <x:si>
    <x:t xml:space="preserve">The model uses a published refrigerated-van hire benchmark plus labour and fuel instead of treating £220/day as an unexplained figure.</x:t>
  </x:si>
  <x:si>
    <x:t xml:space="preserve">What remains uncertain?</x:t>
  </x:si>
  <x:si>
    <x:t xml:space="preserve">Insurance, actual route distance, stop time, fuel economy and local commercial availability must still be validated.</x:t>
  </x:si>
  <x:si>
    <x:t xml:space="preserve">Use in paper</x:t>
  </x:si>
  <x:si>
    <x:t xml:space="preserve">Present this as a scenario-based feasibility estimate, not an observed Coventry operating cost.</x:t>
  </x:si>
  <x:si>
    <x:t xml:space="preserve">Model input</x:t>
  </x:si>
  <x:si>
    <x:t xml:space="preserve">Base value</x:t>
  </x:si>
  <x:si>
    <x:t xml:space="preserve">Status</x:t>
  </x:si>
  <x:si>
    <x:t xml:space="preserve">Rationale / source</x:t>
  </x:si>
  <x:si>
    <x:t xml:space="preserve">A01</x:t>
  </x:si>
  <x:si>
    <x:t xml:space="preserve">SMEs</x:t>
  </x:si>
  <x:si>
    <x:t xml:space="preserve">Scenario</x:t>
  </x:si>
  <x:si>
    <x:t xml:space="preserve">Physical decision case for three route-days/week at up to 14 SME drops per route. Not observed demand.</x:t>
  </x:si>
  <x:si>
    <x:t xml:space="preserve">A02</x:t>
  </x:si>
  <x:si>
    <x:t xml:space="preserve">Drops per SME per week</x:t>
  </x:si>
  <x:si>
    <x:t xml:space="preserve">drops</x:t>
  </x:si>
  <x:si>
    <x:t xml:space="preserve">Service-frequency assumption.</x:t>
  </x:si>
  <x:si>
    <x:t xml:space="preserve">A03</x:t>
  </x:si>
  <x:si>
    <x:t xml:space="preserve">Route days per week</x:t>
  </x:si>
  <x:si>
    <x:t xml:space="preserve">days</x:t>
  </x:si>
  <x:si>
    <x:t xml:space="preserve">Pilot operating schedule.</x:t>
  </x:si>
  <x:si>
    <x:t xml:space="preserve">A04</x:t>
  </x:si>
  <x:si>
    <x:t xml:space="preserve">Membership fee per SME</x:t>
  </x:si>
  <x:si>
    <x:t xml:space="preserve">£ / month</x:t>
  </x:si>
  <x:si>
    <x:t xml:space="preserve">Cost-plus planning price; not willingness-to-pay evidence.</x:t>
  </x:si>
  <x:si>
    <x:t xml:space="preserve">A05</x:t>
  </x:si>
  <x:si>
    <x:t xml:space="preserve">Delivery fee per pooled drop</x:t>
  </x:si>
  <x:si>
    <x:t xml:space="preserve">£ / drop</x:t>
  </x:si>
  <x:si>
    <x:t xml:space="preserve">Current price test only; commercial robustness depends on the contracted 3PL quote and target margin.</x:t>
  </x:si>
  <x:si>
    <x:t xml:space="preserve">A06</x:t>
  </x:si>
  <x:si>
    <x:t xml:space="preserve">Handling / cross-dock cost</x:t>
  </x:si>
  <x:si>
    <x:t xml:space="preserve">Requires partner quote.</x:t>
  </x:si>
  <x:si>
    <x:t xml:space="preserve">A07</x:t>
  </x:si>
  <x:si>
    <x:t xml:space="preserve">Coordinator hours per week</x:t>
  </x:si>
  <x:si>
    <x:t xml:space="preserve">hours</x:t>
  </x:si>
  <x:si>
    <x:t xml:space="preserve">Lean pilot administration allowance.</x:t>
  </x:si>
  <x:si>
    <x:t xml:space="preserve">A08</x:t>
  </x:si>
  <x:si>
    <x:t xml:space="preserve">Coordinator hourly wage</x:t>
  </x:si>
  <x:si>
    <x:t xml:space="preserve">Official floor</x:t>
  </x:si>
  <x:si>
    <x:t xml:space="preserve">2026 National Living Wage.</x:t>
  </x:si>
  <x:si>
    <x:t xml:space="preserve">A09</x:t>
  </x:si>
  <x:si>
    <x:t xml:space="preserve">Coordinator employer NI rate</x:t>
  </x:si>
  <x:si>
    <x:t xml:space="preserve">Official rate</x:t>
  </x:si>
  <x:si>
    <x:t xml:space="preserve">Conservative on-cost application.</x:t>
  </x:si>
  <x:si>
    <x:t xml:space="preserve">A10</x:t>
  </x:si>
  <x:si>
    <x:t xml:space="preserve">Technology / software</x:t>
  </x:si>
  <x:si>
    <x:t xml:space="preserve">Low-code/SaaS pilot allowance.</x:t>
  </x:si>
  <x:si>
    <x:t xml:space="preserve">A11</x:t>
  </x:si>
  <x:si>
    <x:t xml:space="preserve">Business insurance / compliance admin</x:t>
  </x:si>
  <x:si>
    <x:t xml:space="preserve">Requires quote.</x:t>
  </x:si>
  <x:si>
    <x:t xml:space="preserve">A12</x:t>
  </x:si>
  <x:si>
    <x:t xml:space="preserve">Marketing / onboarding</x:t>
  </x:si>
  <x:si>
    <x:t xml:space="preserve">Pilot acquisition allowance.</x:t>
  </x:si>
  <x:si>
    <x:t xml:space="preserve">A13</x:t>
  </x:si>
  <x:si>
    <x:t xml:space="preserve">Other contingency</x:t>
  </x:si>
  <x:si>
    <x:t xml:space="preserve">Contingency.</x:t>
  </x:si>
  <x:si>
    <x:t xml:space="preserve">A14</x:t>
  </x:si>
  <x:si>
    <x:t xml:space="preserve">Weeks per year</x:t>
  </x:si>
  <x:si>
    <x:t xml:space="preserve">weeks</x:t>
  </x:si>
  <x:si>
    <x:t xml:space="preserve">Constant</x:t>
  </x:si>
  <x:si>
    <x:t xml:space="preserve">Calendar convention.</x:t>
  </x:si>
  <x:si>
    <x:t xml:space="preserve">A15</x:t>
  </x:si>
  <x:si>
    <x:t xml:space="preserve">Contracted refrigerated 3PL route-day cost</x:t>
  </x:si>
  <x:si>
    <x:t xml:space="preserve">£ / route-day</x:t>
  </x:si>
  <x:si>
    <x:t xml:space="preserve">Scenario decision case</x:t>
  </x:si>
  <x:si>
    <x:t xml:space="preserve">Outsourced-route scenario. Replace with a commercial quotation before pilot launch.</x:t>
  </x:si>
  <x:si>
    <x:t xml:space="preserve">FreshRoute Monthly Unit Economics - Base Case</x:t>
  </x:si>
  <x:si>
    <x:t xml:space="preserve">Input / driver</x:t>
  </x:si>
  <x:si>
    <x:t xml:space="preserve">Weeks per month</x:t>
  </x:si>
  <x:si>
    <x:t xml:space="preserve">Drops / SME / week</x:t>
  </x:si>
  <x:si>
    <x:t xml:space="preserve">Route days / week</x:t>
  </x:si>
  <x:si>
    <x:t xml:space="preserve">Membership fee / SME</x:t>
  </x:si>
  <x:si>
    <x:t xml:space="preserve">Delivery fee / drop</x:t>
  </x:si>
  <x:si>
    <x:t xml:space="preserve">Handling cost / drop</x:t>
  </x:si>
  <x:si>
    <x:t xml:space="preserve">Coordinator hours / week</x:t>
  </x:si>
  <x:si>
    <x:t xml:space="preserve">Coordinator wage / hour</x:t>
  </x:si>
  <x:si>
    <x:t xml:space="preserve">Coordinator NI rate</x:t>
  </x:si>
  <x:si>
    <x:t xml:space="preserve">Other monthly fixed costs</x:t>
  </x:si>
  <x:si>
    <x:t xml:space="preserve">Monthly drops / SME</x:t>
  </x:si>
  <x:si>
    <x:t xml:space="preserve">Total monthly drops</x:t>
  </x:si>
  <x:si>
    <x:t xml:space="preserve">Monthly route days</x:t>
  </x:si>
  <x:si>
    <x:t xml:space="preserve">Calculation</x:t>
  </x:si>
  <x:si>
    <x:t xml:space="preserve">Monthly value</x:t>
  </x:si>
  <x:si>
    <x:t xml:space="preserve">Membership revenue</x:t>
  </x:si>
  <x:si>
    <x:t xml:space="preserve">Delivery revenue</x:t>
  </x:si>
  <x:si>
    <x:t xml:space="preserve">Total revenue</x:t>
  </x:si>
  <x:si>
    <x:t xml:space="preserve">Handling cost</x:t>
  </x:si>
  <x:si>
    <x:t xml:space="preserve">Route cost</x:t>
  </x:si>
  <x:si>
    <x:t xml:space="preserve">Fixed overhead</x:t>
  </x:si>
  <x:si>
    <x:t xml:space="preserve">EBITDA</x:t>
  </x:si>
  <x:si>
    <x:t xml:space="preserve">Contribution per active SME</x:t>
  </x:si>
  <x:si>
    <x:t xml:space="preserve">Commercial interpretation</x:t>
  </x:si>
  <x:si>
    <x:t xml:space="preserve">EBITDA margin at current price</x:t>
  </x:si>
  <x:si>
    <x:t xml:space="preserve">Required drop fee for 15% margin</x:t>
  </x:si>
  <x:si>
    <x:t xml:space="preserve">Decision</x:t>
  </x:si>
  <x:si>
    <x:t xml:space="preserve">Break-even SMEs: Delivery Fee vs Route-Day Cost</x:t>
  </x:si>
  <x:si>
    <x:t xml:space="preserve">Lower values are better. This matrix identifies the participation threshold under alternative pricing and route-cost conditions; it does not validate willingness to pay.</x:t>
  </x:si>
  <x:si>
    <x:t xml:space="preserve">Provider</x:t>
  </x:si>
  <x:si>
    <x:t xml:space="preserve">Model</x:t>
  </x:si>
  <x:si>
    <x:t xml:space="preserve">Range / chilled capability</x:t>
  </x:si>
  <x:si>
    <x:t xml:space="preserve">Published order / delivery evidence</x:t>
  </x:si>
  <x:si>
    <x:t xml:space="preserve">Key strength</x:t>
  </x:si>
  <x:si>
    <x:t xml:space="preserve">Weakness / boundary</x:t>
  </x:si>
  <x:si>
    <x:t xml:space="preserve">FreshRoute differentiation to test</x:t>
  </x:si>
  <x:si>
    <x:t xml:space="preserve">Source</x:t>
  </x:si>
  <x:si>
    <x:t xml:space="preserve">Booker core delivery</x:t>
  </x:si>
  <x:si>
    <x:t xml:space="preserve">Wholesale + branch delivery</x:t>
  </x:si>
  <x:si>
    <x:t xml:space="preserve">Broad wholesale; delivery availability varies by branch</x:t>
  </x:si>
  <x:si>
    <x:t xml:space="preserve">Minimum value and slot agreed at setup; non-standard delivery can carry charges or higher minimums</x:t>
  </x:si>
  <x:si>
    <x:t xml:space="preserve">Scale, established network, wholesale pricing</x:t>
  </x:si>
  <x:si>
    <x:t xml:space="preserve">Terms vary locally and proposition is wholesaler-led</x:t>
  </x:si>
  <x:si>
    <x:t xml:space="preserve">Supplier-neutral pooling across multiple local/specialist suppliers</x:t>
  </x:si>
  <x:si>
    <x:t xml:space="preserve">https://www.booker.co.uk/services/click-and-collect-and-delivery</x:t>
  </x:si>
  <x:si>
    <x:t xml:space="preserve">Booker Marketplace</x:t>
  </x:si>
  <x:si>
    <x:t xml:space="preserve">Direct-delivery marketplace</x:t>
  </x:si>
  <x:si>
    <x:t xml:space="preserve">Advertises frozen, chilled and ambient in one multi-temp delivery</x:t>
  </x:si>
  <x:si>
    <x:t xml:space="preserve">Free delivery over £100</x:t>
  </x:si>
  <x:si>
    <x:t xml:space="preserve">Strong convenience and price threshold</x:t>
  </x:si>
  <x:si>
    <x:t xml:space="preserve">Marketplace-specific proposition</x:t>
  </x:si>
  <x:si>
    <x:t xml:space="preserve">Local multi-supplier consolidation where order pattern does not fit incumbent offer</x:t>
  </x:si>
  <x:si>
    <x:t xml:space="preserve">Bidfood</x:t>
  </x:si>
  <x:si>
    <x:t xml:space="preserve">National full-line distributor</x:t>
  </x:si>
  <x:si>
    <x:t xml:space="preserve">&gt;10,000 fresh/frozen/chilled/ambient products</x:t>
  </x:si>
  <x:si>
    <x:t xml:space="preserve">London page publishes £175 minimum spend per order</x:t>
  </x:si>
  <x:si>
    <x:t xml:space="preserve">26 sites and &gt;45,000 caterers/foodservice customers</x:t>
  </x:si>
  <x:si>
    <x:t xml:space="preserve">Very strong incumbent scale; London minimum cannot be generalised to Coventry</x:t>
  </x:si>
  <x:si>
    <x:t xml:space="preserve">Neutral coordination and local/specialist-supplier access rather than full-line substitution</x:t>
  </x:si>
  <x:si>
    <x:t xml:space="preserve">Brakes</x:t>
  </x:si>
  <x:si>
    <x:t xml:space="preserve">1,000+ fresh products plus frozen/ambient</x:t>
  </x:si>
  <x:si>
    <x:t xml:space="preserve">Promotes one order, one invoice, one delivery</x:t>
  </x:si>
  <x:si>
    <x:t xml:space="preserve">Integrated convenience and extensive range</x:t>
  </x:si>
  <x:si>
    <x:t xml:space="preserve">FreshRoute cannot credibly win on range alone</x:t>
  </x:si>
  <x:si>
    <x:t xml:space="preserve">Focus on fragmented procurement flows and shared local route economics</x:t>
  </x:si>
  <x:si>
    <x:t xml:space="preserve">https://www.brake.co.uk/why-brakes/restaurants</x:t>
  </x:si>
  <x:si>
    <x:t xml:space="preserve">FreshRoute proposed model</x:t>
  </x:si>
  <x:si>
    <x:t xml:space="preserve">Supplier-neutral coordination + pooled refrigerated route</x:t>
  </x:si>
  <x:si>
    <x:t xml:space="preserve">Selected chilled / short-shelf-life flows with temperature controls</x:t>
  </x:si>
  <x:si>
    <x:t xml:space="preserve">Price and participation threshold to be tested</x:t>
  </x:si>
  <x:si>
    <x:t xml:space="preserve">Flexibility; potential fit for fragmented local supply</x:t>
  </x:si>
  <x:si>
    <x:t xml:space="preserve">Unproven demand, trust and economics</x:t>
  </x:si>
  <x:si>
    <x:t xml:space="preserve">Narrow use-case: collaborative local cold-chain consolidation</x:t>
  </x:si>
  <x:si>
    <x:t xml:space="preserve">Project model</x:t>
  </x:si>
  <x:si>
    <x:t xml:space="preserve">Refrigerated vehicle hire</x:t>
  </x:si>
  <x:si>
    <x:t xml:space="preserve">Self-operated refrigerated vehicle substitute</x:t>
  </x:si>
  <x:si>
    <x:t xml:space="preserve">Published refrigerated van fleet; VMS prices include VAT/insurance/breakdown where stated</x:t>
  </x:si>
  <x:si>
    <x:t xml:space="preserve">MWB example £191.40/day for 1-2 days; lower for longer hire</x:t>
  </x:si>
  <x:si>
    <x:t xml:space="preserve">Transparent vehicle access without FreshRoute intermediary</x:t>
  </x:si>
  <x:si>
    <x:t xml:space="preserve">Requires customer to provide driver, routing and coordination</x:t>
  </x:si>
  <x:si>
    <x:t xml:space="preserve">FreshRoute must create value through coordination, not access to a refrigerated van</x:t>
  </x:si>
  <x:si>
    <x:t xml:space="preserve">Supplier-owned delivery</x:t>
  </x:si>
  <x:si>
    <x:t xml:space="preserve">Supplier fulfils own customer deliveries</x:t>
  </x:si>
  <x:si>
    <x:t xml:space="preserve">Depends on supplier fleet</x:t>
  </x:si>
  <x:si>
    <x:t xml:space="preserve">Supplier-specific terms</x:t>
  </x:si>
  <x:si>
    <x:t xml:space="preserve">Direct accountability and no new intermediary</x:t>
  </x:si>
  <x:si>
    <x:t xml:space="preserve">May already solve the problem where supplier economics support it</x:t>
  </x:si>
  <x:si>
    <x:t xml:space="preserve">FreshRoute relevant only where multi-supplier fragmentation remains</x:t>
  </x:si>
  <x:si>
    <x:t xml:space="preserve">Supplier-specific</x:t>
  </x:si>
  <x:si>
    <x:t xml:space="preserve">SME self-collection</x:t>
  </x:si>
  <x:si>
    <x:t xml:space="preserve">SME/owner collects from suppliers</x:t>
  </x:si>
  <x:si>
    <x:t xml:space="preserve">Customer vehicle / ad hoc transport</x:t>
  </x:si>
  <x:si>
    <x:t xml:space="preserve">Internal time and mileage cost</x:t>
  </x:si>
  <x:si>
    <x:t xml:space="preserve">No new intermediary fee</x:t>
  </x:si>
  <x:si>
    <x:t xml:space="preserve">Transfers labour, mileage, scheduling and cold-chain burden to SME</x:t>
  </x:si>
  <x:si>
    <x:t xml:space="preserve">FreshRoute must beat the economic burden of fragmented collection</x:t>
  </x:si>
  <x:si>
    <x:t xml:space="preserve">Scenario comparator</x:t>
  </x:si>
  <x:si>
    <x:t xml:space="preserve">Supplier-neutral coordination + contracted refrigerated 3PL</x:t>
  </x:si>
  <x:si>
    <x:t xml:space="preserve">Selected chilled/short-shelf-life flows with temperature and custody controls</x:t>
  </x:si>
  <x:si>
    <x:t xml:space="preserve">Price and contracted route-cost envelope must be validated</x:t>
  </x:si>
  <x:si>
    <x:t xml:space="preserve">Coordinates multiple suppliers without taking speculative inventory</x:t>
  </x:si>
  <x:si>
    <x:t xml:space="preserve">Demand, price acceptance and 3PL economics remain unvalidated</x:t>
  </x:si>
  <x:si>
    <x:t xml:space="preserve">Narrow use-case: firms deliberately retaining local/specialist suppliers</x:t>
  </x:si>
  <x:si>
    <x:t xml:space="preserve">Finding ID</x:t>
  </x:si>
  <x:si>
    <x:t xml:space="preserve">RQ</x:t>
  </x:si>
  <x:si>
    <x:t xml:space="preserve">Finding</x:t>
  </x:si>
  <x:si>
    <x:t xml:space="preserve">Evidence basis</x:t>
  </x:si>
  <x:si>
    <x:t xml:space="preserve">Business-plan decision</x:t>
  </x:si>
  <x:si>
    <x:t xml:space="preserve">Confidence</x:t>
  </x:si>
  <x:si>
    <x:t xml:space="preserve">Caution</x:t>
  </x:si>
  <x:si>
    <x:t xml:space="preserve">F01</x:t>
  </x:si>
  <x:si>
    <x:t xml:space="preserve">RQ1</x:t>
  </x:si>
  <x:si>
    <x:t xml:space="preserve">Food waste is commercially material in UK hospitality and food service.</x:t>
  </x:si>
  <x:si>
    <x:t xml:space="preserve">1.1m tonnes HaFS food waste; £3.2bn sector cost; ~£10k/outlet average.</x:t>
  </x:si>
  <x:si>
    <x:t xml:space="preserve">There is a real prevention problem, but FreshRoute cannot claim that all waste is logistics-caused.</x:t>
  </x:si>
  <x:si>
    <x:t xml:space="preserve">Position waste reduction as a potential co-benefit; measure it as a pilot KPI rather than forecast a fixed saving.</x:t>
  </x:si>
  <x:si>
    <x:t xml:space="preserve">High</x:t>
  </x:si>
  <x:si>
    <x:t xml:space="preserve">Avoid attributing sector-average waste directly to Coventry SMEs.</x:t>
  </x:si>
  <x:si>
    <x:t xml:space="preserve">F02</x:t>
  </x:si>
  <x:si>
    <x:t xml:space="preserve">Coventry provides a large screening universe but not an evidenced numeric SAM.</x:t>
  </x:si>
  <x:si>
    <x:t xml:space="preserve">FSA lists 3,015 food businesses on the 17 Sep 2026 release; business type, independence and supplier patterns require further screening.</x:t>
  </x:si>
  <x:si>
    <x:t xml:space="preserve">The opportunity cannot be justified by the headline count alone.</x:t>
  </x:si>
  <x:si>
    <x:t xml:space="preserve">Use FSA business types plus independence, chilled-flow, supplier and geography qualification; do not manufacture an eligibility percentage.</x:t>
  </x:si>
  <x:si>
    <x:t xml:space="preserve">No current secondary source establishes the number willing/able to use FreshRoute.</x:t>
  </x:si>
  <x:si>
    <x:t xml:space="preserve">F03</x:t>
  </x:si>
  <x:si>
    <x:t xml:space="preserve">RQ2</x:t>
  </x:si>
  <x:si>
    <x:t xml:space="preserve">Food-logistics compliance extends beyond the 8°C rule.</x:t>
  </x:si>
  <x:si>
    <x:t xml:space="preserve">FSA registration guidance plus Regulation 852/2004 transport controls and chilled-food guidance.</x:t>
  </x:si>
  <x:si>
    <x:t xml:space="preserve">Registration/FBO status, hygiene, separation, traceability, custody and temperature monitoring are launch conditions.</x:t>
  </x:si>
  <x:si>
    <x:t xml:space="preserve">G0 requires written responsibility/registration confirmation and contracted transport controls.</x:t>
  </x:si>
  <x:si>
    <x:t xml:space="preserve">Exact responsibility depends on the final contractual architecture.</x:t>
  </x:si>
  <x:si>
    <x:t xml:space="preserve">F04</x:t>
  </x:si>
  <x:si>
    <x:t xml:space="preserve">RQ3</x:t>
  </x:si>
  <x:si>
    <x:t xml:space="preserve">Collaboration benefits depend on relational and information mechanisms.</x:t>
  </x:si>
  <x:si>
    <x:t xml:space="preserve">Stoeva et al. (2024); Badraoui et al. (2022); Relational View.</x:t>
  </x:si>
  <x:si>
    <x:t xml:space="preserve">Pooling is not only route optimisation; common information routines and governance affect whether value is realised.</x:t>
  </x:si>
  <x:si>
    <x:t xml:space="preserve">Use minimum data standards, clear custody/cost allocation and common route routines.</x:t>
  </x:si>
  <x:si>
    <x:t xml:space="preserve">Medium-High</x:t>
  </x:si>
  <x:si>
    <x:t xml:space="preserve">Much empirical evidence is not UK micro-foodservice-specific.</x:t>
  </x:si>
  <x:si>
    <x:t xml:space="preserve">F05</x:t>
  </x:si>
  <x:si>
    <x:t xml:space="preserve">Time capacity is feasible in the base route, but payload and receiving windows remain constraints.</x:t>
  </x:si>
  <x:si>
    <x:t xml:space="preserve">4 pickups + 12 SME drops ≈6.35h; 14-drop stretch ≈7.02h; 16 drops ≈8.0h. Refrigerated L2 payload benchmark 801-1000kg.</x:t>
  </x:si>
  <x:si>
    <x:t xml:space="preserve">The binding constraint can shift from time to payload or simultaneous customer receiving windows.</x:t>
  </x:si>
  <x:si>
    <x:t xml:space="preserve">Use 14 drops as a planning ceiling only; validate order weight and receiving windows at G1/G3.</x:t>
  </x:si>
  <x:si>
    <x:t xml:space="preserve">Medium</x:t>
  </x:si>
  <x:si>
    <x:t xml:space="preserve">Stop times, order weights and actual Coventry routing are scenario inputs.</x:t>
  </x:si>
  <x:si>
    <x:t xml:space="preserve">F06</x:t>
  </x:si>
  <x:si>
    <x:t xml:space="preserve">Freshness should be an eligibility constraint, not an assumed benefit.</x:t>
  </x:si>
  <x:si>
    <x:t xml:space="preserve">Cold-chain/shelf-life literature; product-specific route/dwell logic.</x:t>
  </x:si>
  <x:si>
    <x:t xml:space="preserve">More consolidation is not automatically better for short-shelf-life goods.</x:t>
  </x:si>
  <x:si>
    <x:t xml:space="preserve">Each product class needs supplier-defined remaining-life / route-dwell eligibility rules.</x:t>
  </x:si>
  <x:si>
    <x:t xml:space="preserve">No universal shelf-life threshold is assumed.</x:t>
  </x:si>
  <x:si>
    <x:t xml:space="preserve">F07</x:t>
  </x:si>
  <x:si>
    <x:t xml:space="preserve">RQ4</x:t>
  </x:si>
  <x:si>
    <x:t xml:space="preserve">Incumbents and substitutes make a broad delivery proposition unattractive.</x:t>
  </x:si>
  <x:si>
    <x:t xml:space="preserve">Booker, Bidfood, Brakes, supplier delivery, vehicle hire and SME self-collection.</x:t>
  </x:si>
  <x:si>
    <x:t xml:space="preserve">FreshRoute only adds value where businesses intentionally retain multiple local/specialist suppliers.</x:t>
  </x:si>
  <x:si>
    <x:t xml:space="preserve">Position as supplier-neutral coordination, not generic wholesaling or van hire.</x:t>
  </x:si>
  <x:si>
    <x:t xml:space="preserve">Company sources describe observable propositions, not independent performance.</x:t>
  </x:si>
  <x:si>
    <x:t xml:space="preserve">F08</x:t>
  </x:si>
  <x:si>
    <x:t xml:space="preserve">The current £25/drop price is a threshold case, not robust scale economics.</x:t>
  </x:si>
  <x:si>
    <x:t xml:space="preserve">At £275 contracted route-day cost and 21 active SMEs, EBITDA margin is only about 1%; 15% margin requires ~£29.8/drop.</x:t>
  </x:si>
  <x:si>
    <x:t xml:space="preserve">Positive EBITDA alone is not sufficient to justify scale.</x:t>
  </x:si>
  <x:si>
    <x:t xml:space="preserve">Treat &gt;=10% margin as a minimum scale gate; validate price and contracted route cost before launch.</x:t>
  </x:si>
  <x:si>
    <x:t xml:space="preserve">£275 route cost and £25/£30 prices remain scenarios until commercially quoted/tested.</x:t>
  </x:si>
  <x:si>
    <x:t xml:space="preserve">F09</x:t>
  </x:si>
  <x:si>
    <x:t xml:space="preserve">The outsourced 3PL architecture must be costed as outsourced transport.</x:t>
  </x:si>
  <x:si>
    <x:t xml:space="preserve">Internal consistency audit of operating architecture and financial model.</x:t>
  </x:si>
  <x:si>
    <x:t xml:space="preserve">A self-drive van + FreshRoute driver cost build cannot be used as the principal cost if the business buys a 3PL route.</x:t>
  </x:si>
  <x:si>
    <x:t xml:space="preserve">Use contracted 3PL cost envelope; retain £214.66 self-operated figure only as a comparator.</x:t>
  </x:si>
  <x:si>
    <x:t xml:space="preserve">Actual 3PL quote still required.</x:t>
  </x:si>
  <x:si>
    <x:t xml:space="preserve">F10</x:t>
  </x:si>
  <x:si>
    <x:t xml:space="preserve">Customer value must be compared with the economic burden of fragmented collection.</x:t>
  </x:si>
  <x:si>
    <x:t xml:space="preserve">Scenario: 1-2 hours of staff/owner time plus 10-30 miles at £12.71/h and 55p/mile gives ~£18-£42.</x:t>
  </x:si>
  <x:si>
    <x:t xml:space="preserve">The £25 drop fee may be rational where it replaces a sufficiently costly fragmented trip, but willingness to pay is not observed.</x:t>
  </x:si>
  <x:si>
    <x:t xml:space="preserve">Use the comparator only to structure G1 commercial validation.</x:t>
  </x:si>
  <x:si>
    <x:t xml:space="preserve">Mileage/time scenarios are not customer research.</x:t>
  </x:si>
  <x:si>
    <x:t xml:space="preserve">Stage</x:t>
  </x:si>
  <x:si>
    <x:t xml:space="preserve">Process</x:t>
  </x:si>
  <x:si>
    <x:t xml:space="preserve">Control</x:t>
  </x:si>
  <x:si>
    <x:t xml:space="preserve">Owner</x:t>
  </x:si>
  <x:si>
    <x:t xml:space="preserve">KPI</x:t>
  </x:si>
  <x:si>
    <x:t xml:space="preserve">Evidence / rationale</x:t>
  </x:si>
  <x:si>
    <x:t xml:space="preserve">1</x:t>
  </x:si>
  <x:si>
    <x:t xml:space="preserve">SME onboarding</x:t>
  </x:si>
  <x:si>
    <x:t xml:space="preserve">Eligibility, product/category fit, delivery windows, cold-chain needs</x:t>
  </x:si>
  <x:si>
    <x:t xml:space="preserve">Coordinator</x:t>
  </x:si>
  <x:si>
    <x:t xml:space="preserve">Qualified SMEs / leads</x:t>
  </x:si>
  <x:si>
    <x:t xml:space="preserve">Narrow pilot scope reduces complexity.</x:t>
  </x:si>
  <x:si>
    <x:t xml:space="preserve">2</x:t>
  </x:si>
  <x:si>
    <x:t xml:space="preserve">Order / collection cut-off</x:t>
  </x:si>
  <x:si>
    <x:t xml:space="preserve">Standard cut-off and data template</x:t>
  </x:si>
  <x:si>
    <x:t xml:space="preserve">Coordinator + SMEs</x:t>
  </x:si>
  <x:si>
    <x:t xml:space="preserve">% orders received on time</x:t>
  </x:si>
  <x:si>
    <x:t xml:space="preserve">Information-sharing discipline is a collaboration enabler.</x:t>
  </x:si>
  <x:si>
    <x:t xml:space="preserve">3</x:t>
  </x:si>
  <x:si>
    <x:t xml:space="preserve">Pooling and route planning</x:t>
  </x:si>
  <x:si>
    <x:t xml:space="preserve">Consolidate compatible flows; exclude incompatible handling requirements</x:t>
  </x:si>
  <x:si>
    <x:t xml:space="preserve">Coordinator / 3PL</x:t>
  </x:si>
  <x:si>
    <x:t xml:space="preserve">Drops per route; vehicle utilisation</x:t>
  </x:si>
  <x:si>
    <x:t xml:space="preserve">Density and utilisation drive viability.</x:t>
  </x:si>
  <x:si>
    <x:t xml:space="preserve">4</x:t>
  </x:si>
  <x:si>
    <x:t xml:space="preserve">Cold-chain handover</x:t>
  </x:si>
  <x:si>
    <x:t xml:space="preserve">Temperature check at collection / consolidation</x:t>
  </x:si>
  <x:si>
    <x:t xml:space="preserve">Driver / hub</x:t>
  </x:si>
  <x:si>
    <x:t xml:space="preserve">% handovers within target</x:t>
  </x:si>
  <x:si>
    <x:t xml:space="preserve">FSA &lt;8°C; operating target &lt;=5°C.</x:t>
  </x:si>
  <x:si>
    <x:t xml:space="preserve">5</x:t>
  </x:si>
  <x:si>
    <x:t xml:space="preserve">Last-mile delivery</x:t>
  </x:si>
  <x:si>
    <x:t xml:space="preserve">Time-window control and temperature evidence</x:t>
  </x:si>
  <x:si>
    <x:t xml:space="preserve">Driver</x:t>
  </x:si>
  <x:si>
    <x:t xml:space="preserve">On-time-in-full; temperature exceptions</x:t>
  </x:si>
  <x:si>
    <x:t xml:space="preserve">Perishable quality depends on time-temperature discipline.</x:t>
  </x:si>
  <x:si>
    <x:t xml:space="preserve">6</x:t>
  </x:si>
  <x:si>
    <x:t xml:space="preserve">Exception handling</x:t>
  </x:si>
  <x:si>
    <x:t xml:space="preserve">Quarantine/reject/escalate if temperature or packaging fails</x:t>
  </x:si>
  <x:si>
    <x:t xml:space="preserve">Coordinator / FBO</x:t>
  </x:si>
  <x:si>
    <x:t xml:space="preserve">Exception closure time</x:t>
  </x:si>
  <x:si>
    <x:t xml:space="preserve">Food-safety risk must override consolidation efficiency.</x:t>
  </x:si>
  <x:si>
    <x:t xml:space="preserve">7</x:t>
  </x:si>
  <x:si>
    <x:t xml:space="preserve">Weekly performance review</x:t>
  </x:si>
  <x:si>
    <x:t xml:space="preserve">Review cost, route density, service and waste indicators</x:t>
  </x:si>
  <x:si>
    <x:t xml:space="preserve">Contribution/SME; route utilisation; complaints</x:t>
  </x:si>
  <x:si>
    <x:t xml:space="preserve">Stage-gated scaling based on measured performance.</x:t>
  </x:si>
  <x:si>
    <x:t xml:space="preserve">Element</x:t>
  </x:si>
  <x:si>
    <x:t xml:space="preserve">Recommended design</x:t>
  </x:si>
  <x:si>
    <x:t xml:space="preserve">Reason</x:t>
  </x:si>
  <x:si>
    <x:t xml:space="preserve">Metric</x:t>
  </x:si>
  <x:si>
    <x:t xml:space="preserve">Evidence status</x:t>
  </x:si>
  <x:si>
    <x:t xml:space="preserve">Primary segment</x:t>
  </x:si>
  <x:si>
    <x:t xml:space="preserve">Independent restaurants, cafés and small food retailers with fragmented chilled/local supply</x:t>
  </x:si>
  <x:si>
    <x:t xml:space="preserve">Likely to experience smaller orders, multiple suppliers and resource constraints</x:t>
  </x:si>
  <x:si>
    <x:t xml:space="preserve">Qualified leads; conversion rate</x:t>
  </x:si>
  <x:si>
    <x:t xml:space="preserve">Analytical recommendation</x:t>
  </x:si>
  <x:si>
    <x:t xml:space="preserve">Must be screened from local universe; no primary demand validation yet.</x:t>
  </x:si>
  <x:si>
    <x:t xml:space="preserve">Positioning</x:t>
  </x:si>
  <x:si>
    <x:t xml:space="preserve">Supplier-neutral pooled cold-chain coordination</x:t>
  </x:si>
  <x:si>
    <x:t xml:space="preserve">Avoids competing head-on with full-line wholesalers</x:t>
  </x:si>
  <x:si>
    <x:t xml:space="preserve">% leads citing multi-supplier friction</x:t>
  </x:si>
  <x:si>
    <x:t xml:space="preserve">Competitor-informed</x:t>
  </x:si>
  <x:si>
    <x:t xml:space="preserve">Need evidence that this pain is sufficiently frequent.</x:t>
  </x:si>
  <x:si>
    <x:t xml:space="preserve">Value proposition</x:t>
  </x:si>
  <x:si>
    <x:t xml:space="preserve">Fewer fragmented journeys, transparent pooled-delivery price, temperature evidence and local-supplier access</x:t>
  </x:si>
  <x:si>
    <x:t xml:space="preserve">Combines economic, operational and compliance value</x:t>
  </x:si>
  <x:si>
    <x:t xml:space="preserve">Customer cost per drop; on-time rate; exception rate</x:t>
  </x:si>
  <x:si>
    <x:t xml:space="preserve">Evidence-informed</x:t>
  </x:si>
  <x:si>
    <x:t xml:space="preserve">Do not promise waste reductions before measurement.</x:t>
  </x:si>
  <x:si>
    <x:t xml:space="preserve">Pricing</x:t>
  </x:si>
  <x:si>
    <x:t xml:space="preserve">£35/month + £25 pooled drop in base scenario</x:t>
  </x:si>
  <x:si>
    <x:t xml:space="preserve">Creates recurring contribution plus usage-linked revenue</x:t>
  </x:si>
  <x:si>
    <x:t xml:space="preserve">ARPU; contribution/SME</x:t>
  </x:si>
  <x:si>
    <x:t xml:space="preserve">Not willingness-to-pay validated.</x:t>
  </x:si>
  <x:si>
    <x:t xml:space="preserve">Acquisition</x:t>
  </x:si>
  <x:si>
    <x:t xml:space="preserve">Direct local outreach, business associations, supplier referrals and pilot cluster recruitment</x:t>
  </x:si>
  <x:si>
    <x:t xml:space="preserve">Density matters more than broad awareness</x:t>
  </x:si>
  <x:si>
    <x:t xml:space="preserve">Committed SMEs within pilot zone</x:t>
  </x:si>
  <x:si>
    <x:t xml:space="preserve">Recommended</x:t>
  </x:si>
  <x:si>
    <x:t xml:space="preserve">Avoid broad paid marketing before cluster density is proven.</x:t>
  </x:si>
  <x:si>
    <x:t xml:space="preserve">Retention</x:t>
  </x:si>
  <x:si>
    <x:t xml:space="preserve">Transparent SLA, dashboard, shared KPIs and monthly review</x:t>
  </x:si>
  <x:si>
    <x:t xml:space="preserve">Trust and information sharing are HLC enablers</x:t>
  </x:si>
  <x:si>
    <x:t xml:space="preserve">90-day retention; NPS/feedback if later ethically approved</x:t>
  </x:si>
  <x:si>
    <x:t xml:space="preserve">Literature-informed</x:t>
  </x:si>
  <x:si>
    <x:t xml:space="preserve">Primary feedback would need appropriate approval if used as research data.</x:t>
  </x:si>
  <x:si>
    <x:t xml:space="preserve">Phase</x:t>
  </x:si>
  <x:si>
    <x:t xml:space="preserve">Timing</x:t>
  </x:si>
  <x:si>
    <x:t xml:space="preserve">Decision gate</x:t>
  </x:si>
  <x:si>
    <x:t xml:space="preserve">Activities</x:t>
  </x:si>
  <x:si>
    <x:t xml:space="preserve">Evidence required</x:t>
  </x:si>
  <x:si>
    <x:t xml:space="preserve">Output</x:t>
  </x:si>
  <x:si>
    <x:t xml:space="preserve">Go / no-go rule</x:t>
  </x:si>
  <x:si>
    <x:t xml:space="preserve">Numeric / explicit gate threshold</x:t>
  </x:si>
  <x:si>
    <x:t xml:space="preserve">0. Validate inputs</x:t>
  </x:si>
  <x:si>
    <x:t xml:space="preserve">Weeks 1-2</x:t>
  </x:si>
  <x:si>
    <x:t xml:space="preserve">G0</x:t>
  </x:si>
  <x:si>
    <x:t xml:space="preserve">Confirm route/handling quotations; screen target zone; confirm operating responsibility</x:t>
  </x:si>
  <x:si>
    <x:t xml:space="preserve">Commercial quotes; compliance check</x:t>
  </x:si>
  <x:si>
    <x:t xml:space="preserve">Validated cost envelope</x:t>
  </x:si>
  <x:si>
    <x:t xml:space="preserve">No launch if economics require implausible pricing or density.</x:t>
  </x:si>
  <x:si>
    <x:t xml:space="preserve">Written local-authority/FBO-registration position; contracted refrigerated 3PL quote obtained; model shows a viable price/cost combination and no hidden cross-dock requirement.</x:t>
  </x:si>
  <x:si>
    <x:t xml:space="preserve">1. Recruit cluster</x:t>
  </x:si>
  <x:si>
    <x:t xml:space="preserve">Weeks 2-4</x:t>
  </x:si>
  <x:si>
    <x:t xml:space="preserve">G1</x:t>
  </x:si>
  <x:si>
    <x:t xml:space="preserve">Secure participating SMEs and compatible delivery windows</x:t>
  </x:si>
  <x:si>
    <x:t xml:space="preserve">Written commercial interest / non-research commitments</x:t>
  </x:si>
  <x:si>
    <x:t xml:space="preserve">Pilot cluster</x:t>
  </x:si>
  <x:si>
    <x:t xml:space="preserve">Proceed only if committed SMEs approach break-even threshold.</x:t>
  </x:si>
  <x:si>
    <x:t xml:space="preserve">Qualified-prospect list built from target FSA business types and compact geography; at least 21 route-compatible commitments OR a lower-frequency configuration that passes price, capacity and margin gates.</x:t>
  </x:si>
  <x:si>
    <x:t xml:space="preserve">2. Configure service</x:t>
  </x:si>
  <x:si>
    <x:t xml:space="preserve">Weeks 4-5</x:t>
  </x:si>
  <x:si>
    <x:t xml:space="preserve">G2</x:t>
  </x:si>
  <x:si>
    <x:t xml:space="preserve">Route plan, SOPs, temperature logging, contracts, insurance</x:t>
  </x:si>
  <x:si>
    <x:t xml:space="preserve">SOP review and partner readiness</x:t>
  </x:si>
  <x:si>
    <x:t xml:space="preserve">Ready-to-run service</x:t>
  </x:si>
  <x:si>
    <x:t xml:space="preserve">No launch without cold-chain accountability and exception process.</x:t>
  </x:si>
  <x:si>
    <x:t xml:space="preserve">100% custody/SOP sign-off; vehicle hygiene/temperature controls confirmed; product eligibility incorporates payload, receiving-window and supplier/product shelf-life constraints.</x:t>
  </x:si>
  <x:si>
    <x:t xml:space="preserve">3. Controlled pilot</x:t>
  </x:si>
  <x:si>
    <x:t xml:space="preserve">Weeks 6-10</x:t>
  </x:si>
  <x:si>
    <x:t xml:space="preserve">G3</x:t>
  </x:si>
  <x:si>
    <x:t xml:space="preserve">Operate limited route days; capture operational KPIs</x:t>
  </x:si>
  <x:si>
    <x:t xml:space="preserve">Costs, drops, time, temperatures, service failures</x:t>
  </x:si>
  <x:si>
    <x:t xml:space="preserve">Pilot performance dataset</x:t>
  </x:si>
  <x:si>
    <x:t xml:space="preserve">Continue only if safety maintained and contribution trend is credible.</x:t>
  </x:si>
  <x:si>
    <x:t xml:space="preserve">No unresolved food-safety incidents; &gt;=95% OTIF; route &lt;=7.5h; estimated payload &lt;=80% planning ceiling; all temperature/custody exceptions closed.</x:t>
  </x:si>
  <x:si>
    <x:t xml:space="preserve">4. Evaluate</x:t>
  </x:si>
  <x:si>
    <x:t xml:space="preserve">Weeks 10-11</x:t>
  </x:si>
  <x:si>
    <x:t xml:space="preserve">G4</x:t>
  </x:si>
  <x:si>
    <x:t xml:space="preserve">Compare actual metrics with model; revise pricing / routes</x:t>
  </x:si>
  <x:si>
    <x:t xml:space="preserve">Actual vs model variance</x:t>
  </x:si>
  <x:si>
    <x:t xml:space="preserve">Go / revise / stop decision</x:t>
  </x:si>
  <x:si>
    <x:t xml:space="preserve">Scale only after positive unit economics or credible improvement path.</x:t>
  </x:si>
  <x:si>
    <x:t xml:space="preserve">Positive contribution and a configuration capable of &gt;=10% EBITDA margin under contracted costs; actual route economics within 10% of the validated model.</x:t>
  </x:si>
  <x:si>
    <x:t xml:space="preserve">5. Scale carefully</x:t>
  </x:si>
  <x:si>
    <x:t xml:space="preserve">Month 4+</x:t>
  </x:si>
  <x:si>
    <x:t xml:space="preserve">G5</x:t>
  </x:si>
  <x:si>
    <x:t xml:space="preserve">Add SMEs/routes only where density supports economics</x:t>
  </x:si>
  <x:si>
    <x:t xml:space="preserve">Cluster-level contribution and route utilisation</x:t>
  </x:si>
  <x:si>
    <x:t xml:space="preserve">Controlled expansion</x:t>
  </x:si>
  <x:si>
    <x:t xml:space="preserve">Do not add geography before existing cluster is stable.</x:t>
  </x:si>
  <x:si>
    <x:t xml:space="preserve">Scale only after &gt;=90% retention, &gt;=10% EBITDA margin for two consecutive review periods and no unresolved compliance incidents.</x:t>
  </x:si>
  <x:si>
    <x:t xml:space="preserve">Risk</x:t>
  </x:si>
  <x:si>
    <x:t xml:space="preserve">Likelihood (1-5)</x:t>
  </x:si>
  <x:si>
    <x:t xml:space="preserve">Impact (1-5)</x:t>
  </x:si>
  <x:si>
    <x:t xml:space="preserve">Score</x:t>
  </x:si>
  <x:si>
    <x:t xml:space="preserve">Mitigation</x:t>
  </x:si>
  <x:si>
    <x:t xml:space="preserve">Early warning</x:t>
  </x:si>
  <x:si>
    <x:t xml:space="preserve">Residual view</x:t>
  </x:si>
  <x:si>
    <x:t xml:space="preserve">Insufficient SME density</x:t>
  </x:si>
  <x:si>
    <x:t xml:space="preserve">Pre-commit cluster before fixed route; zone-based launch</x:t>
  </x:si>
  <x:si>
    <x:t xml:space="preserve">Active commitments below threshold</x:t>
  </x:si>
  <x:si>
    <x:t xml:space="preserve">High until demand validated</x:t>
  </x:si>
  <x:si>
    <x:t xml:space="preserve">Price / willingness-to-pay mismatch</x:t>
  </x:si>
  <x:si>
    <x:t xml:space="preserve">Use sensitivity; test commercial offer before scale</x:t>
  </x:si>
  <x:si>
    <x:t xml:space="preserve">Low conversion / price objections</x:t>
  </x:si>
  <x:si>
    <x:t xml:space="preserve">Founder</x:t>
  </x:si>
  <x:si>
    <x:t xml:space="preserve">Temperature breach</x:t>
  </x:si>
  <x:si>
    <x:t xml:space="preserve">5°C operating target, logging, escalation, reject/quarantine SOP</x:t>
  </x:si>
  <x:si>
    <x:t xml:space="preserve">Temperature excursion or delayed handover</x:t>
  </x:si>
  <x:si>
    <x:t xml:space="preserve">3PL / FBO</x:t>
  </x:si>
  <x:si>
    <x:t xml:space="preserve">Partner handling cost above model</x:t>
  </x:si>
  <x:si>
    <x:t xml:space="preserve">Obtain quote; cap handling fee; redesign flow</x:t>
  </x:si>
  <x:si>
    <x:t xml:space="preserve">Quote exceeds scenario</x:t>
  </x:si>
  <x:si>
    <x:t xml:space="preserve">Route time / mileage above model</x:t>
  </x:si>
  <x:si>
    <x:t xml:space="preserve">Pilot one compact zone; route optimisation; time-window discipline</x:t>
  </x:si>
  <x:si>
    <x:t xml:space="preserve">Stops per route fall / km rises</x:t>
  </x:si>
  <x:si>
    <x:t xml:space="preserve">Incumbent response / weak differentiation</x:t>
  </x:si>
  <x:si>
    <x:t xml:space="preserve">Focus on local/specialist multi-supplier use-case</x:t>
  </x:si>
  <x:si>
    <x:t xml:space="preserve">Leads prefer existing wholesaler bundle</x:t>
  </x:si>
  <x:si>
    <x:t xml:space="preserve">Trust / data-sharing resistance</x:t>
  </x:si>
  <x:si>
    <x:t xml:space="preserve">Minimum data requirement; transparent allocation; confidentiality rules</x:t>
  </x:si>
  <x:si>
    <x:t xml:space="preserve">Late/incomplete order data</x:t>
  </x:si>
  <x:si>
    <x:t xml:space="preserve">Insurance / liability complexity</x:t>
  </x:si>
  <x:si>
    <x:t xml:space="preserve">Clarify FBO/3PL responsibilities and cover before launch</x:t>
  </x:si>
  <x:si>
    <x:t xml:space="preserve">Unclear contract ownership</x:t>
  </x:si>
  <x:si>
    <x:t xml:space="preserve">Founder / adviser</x:t>
  </x:si>
  <x:si>
    <x:t xml:space="preserve">High until resolved</x:t>
  </x:si>
  <x:si>
    <x:t xml:space="preserve">Traceability / recall failure</x:t>
  </x:si>
  <x:si>
    <x:t xml:space="preserve">Order/batch identifiers, handover timestamps and recall SOP</x:t>
  </x:si>
  <x:si>
    <x:t xml:space="preserve">Missing link between supplier batch and SME receipt</x:t>
  </x:si>
  <x:si>
    <x:t xml:space="preserve">Allergen / cross-contamination during transport</x:t>
  </x:si>
  <x:si>
    <x:t xml:space="preserve">Packaging/segregation standards; cleaning and spill-response SOP</x:t>
  </x:si>
  <x:si>
    <x:t xml:space="preserve">Damaged packaging / mixed incompatible loads</x:t>
  </x:si>
  <x:si>
    <x:t xml:space="preserve">Refrigeration or vehicle breakdown</x:t>
  </x:si>
  <x:si>
    <x:t xml:space="preserve">Recovery partner, temperature alarms, rejection threshold, contingency route</x:t>
  </x:si>
  <x:si>
    <x:t xml:space="preserve">Vehicle fault or rising temperature</x:t>
  </x:si>
  <x:si>
    <x:t xml:space="preserve">3PL</x:t>
  </x:si>
  <x:si>
    <x:t xml:space="preserve">Cash-flow shortfall during ramp</x:t>
  </x:si>
  <x:si>
    <x:t xml:space="preserve">Fund Year-1 trough plus contingency; stage route days with demand</x:t>
  </x:si>
  <x:si>
    <x:t xml:space="preserve">Cumulative cash below funding buffer</x:t>
  </x:si>
  <x:si>
    <x:t xml:space="preserve">High until density stabilises</x:t>
  </x:si>
  <x:si>
    <x:t xml:space="preserve">Cyber / data loss</x:t>
  </x:si>
  <x:si>
    <x:t xml:space="preserve">Minimal data collection, access control, backups</x:t>
  </x:si>
  <x:si>
    <x:t xml:space="preserve">Missing order/temperature records</x:t>
  </x:si>
  <x:si>
    <x:t xml:space="preserve">Low-Medium</x:t>
  </x:si>
  <x:si>
    <x:t xml:space="preserve">Dashboard module</x:t>
  </x:si>
  <x:si>
    <x:t xml:space="preserve">Definition</x:t>
  </x:si>
  <x:si>
    <x:t xml:space="preserve">Target / trigger</x:t>
  </x:si>
  <x:si>
    <x:t xml:space="preserve">Why it matters</x:t>
  </x:si>
  <x:si>
    <x:t xml:space="preserve">Data source</x:t>
  </x:si>
  <x:si>
    <x:t xml:space="preserve">Commercial</x:t>
  </x:si>
  <x:si>
    <x:t xml:space="preserve">SMEs with active recurring service</x:t>
  </x:si>
  <x:si>
    <x:t xml:space="preserve">At/above break-even threshold</x:t>
  </x:si>
  <x:si>
    <x:t xml:space="preserve">Density drives economics</x:t>
  </x:si>
  <x:si>
    <x:t xml:space="preserve">CRM / membership</x:t>
  </x:si>
  <x:si>
    <x:t xml:space="preserve">Contribution per SME</x:t>
  </x:si>
  <x:si>
    <x:t xml:space="preserve">Membership + delivery contribution after handling</x:t>
  </x:si>
  <x:si>
    <x:t xml:space="preserve">Positive and stable</x:t>
  </x:si>
  <x:si>
    <x:t xml:space="preserve">Shows scalable unit economics</x:t>
  </x:si>
  <x:si>
    <x:t xml:space="preserve">Financial model</x:t>
  </x:si>
  <x:si>
    <x:t xml:space="preserve">Operations</x:t>
  </x:si>
  <x:si>
    <x:t xml:space="preserve">Drops per route</x:t>
  </x:si>
  <x:si>
    <x:t xml:space="preserve">Completed drops / route day</x:t>
  </x:si>
  <x:si>
    <x:t xml:space="preserve">Trend upward within capacity</x:t>
  </x:si>
  <x:si>
    <x:t xml:space="preserve">Proxy for route density</x:t>
  </x:si>
  <x:si>
    <x:t xml:space="preserve">Route log</x:t>
  </x:si>
  <x:si>
    <x:t xml:space="preserve">Route cost / drop</x:t>
  </x:si>
  <x:si>
    <x:t xml:space="preserve">Total route-day cost / completed drops</x:t>
  </x:si>
  <x:si>
    <x:t xml:space="preserve">Trend downward with density</x:t>
  </x:si>
  <x:si>
    <x:t xml:space="preserve">Core cost efficiency</x:t>
  </x:si>
  <x:si>
    <x:t xml:space="preserve">Finance + route log</x:t>
  </x:si>
  <x:si>
    <x:t xml:space="preserve">Service</x:t>
  </x:si>
  <x:si>
    <x:t xml:space="preserve">On-time-in-full</x:t>
  </x:si>
  <x:si>
    <x:t xml:space="preserve">Deliveries complete within agreed window</x:t>
  </x:si>
  <x:si>
    <x:t xml:space="preserve">High / improving</x:t>
  </x:si>
  <x:si>
    <x:t xml:space="preserve">Reliability is core value</x:t>
  </x:si>
  <x:si>
    <x:t xml:space="preserve">Delivery log</x:t>
  </x:si>
  <x:si>
    <x:t xml:space="preserve">Cold chain</x:t>
  </x:si>
  <x:si>
    <x:t xml:space="preserve">Temperature compliance</x:t>
  </x:si>
  <x:si>
    <x:t xml:space="preserve">Handover / route readings within control</x:t>
  </x:si>
  <x:si>
    <x:t xml:space="preserve">100%; exception = escalation</x:t>
  </x:si>
  <x:si>
    <x:t xml:space="preserve">Food safety non-negotiable</x:t>
  </x:si>
  <x:si>
    <x:t xml:space="preserve">Temperature log</x:t>
  </x:si>
  <x:si>
    <x:t xml:space="preserve">Temperature exceptions</x:t>
  </x:si>
  <x:si>
    <x:t xml:space="preserve">Count of excursions / route</x:t>
  </x:si>
  <x:si>
    <x:t xml:space="preserve">Zero preferred</x:t>
  </x:si>
  <x:si>
    <x:t xml:space="preserve">Immediate risk signal</x:t>
  </x:si>
  <x:si>
    <x:t xml:space="preserve">Sustainability</x:t>
  </x:si>
  <x:si>
    <x:t xml:space="preserve">Food waste reported by participants</x:t>
  </x:si>
  <x:si>
    <x:t xml:space="preserve">Waste quantity / cost where available</x:t>
  </x:si>
  <x:si>
    <x:t xml:space="preserve">Baseline then trend; no pre-set claim</x:t>
  </x:si>
  <x:si>
    <x:t xml:space="preserve">Tests whether logistics changes affect waste</x:t>
  </x:si>
  <x:si>
    <x:t xml:space="preserve">Future pilot measurement</x:t>
  </x:si>
  <x:si>
    <x:t xml:space="preserve">Governance</x:t>
  </x:si>
  <x:si>
    <x:t xml:space="preserve">Late / incomplete order data</x:t>
  </x:si>
  <x:si>
    <x:t xml:space="preserve">Orders missing cut-off/data standard</x:t>
  </x:si>
  <x:si>
    <x:t xml:space="preserve">Low and falling</x:t>
  </x:si>
  <x:si>
    <x:t xml:space="preserve">Information-sharing quality</x:t>
  </x:si>
  <x:si>
    <x:t xml:space="preserve">Order system</x:t>
  </x:si>
  <x:si>
    <x:t xml:space="preserve">Date</x:t>
  </x:si>
  <x:si>
    <x:t xml:space="preserve">Search / source</x:t>
  </x:si>
  <x:si>
    <x:t xml:space="preserve">Evidence retained</x:t>
  </x:si>
  <x:si>
    <x:t xml:space="preserve">Critical limitation</x:t>
  </x:si>
  <x:si>
    <x:t xml:space="preserve">Decision / use</x:t>
  </x:si>
  <x:si>
    <x:t xml:space="preserve">URL</x:t>
  </x:si>
  <x:si>
    <x:t xml:space="preserve">Local data update</x:t>
  </x:si>
  <x:si>
    <x:t xml:space="preserve">FSA FHRS Coventry open data</x:t>
  </x:si>
  <x:si>
    <x:t xml:space="preserve">Not all are FreshRoute targets</x:t>
  </x:si>
  <x:si>
    <x:t xml:space="preserve">Use only as local universe/context</x:t>
  </x:si>
  <x:si>
    <x:t xml:space="preserve">RQ1/RQ4</x:t>
  </x:si>
  <x:si>
    <x:t xml:space="preserve">Included</x:t>
  </x:si>
  <x:si>
    <x:t xml:space="preserve">Sep 2026</x:t>
  </x:si>
  <x:si>
    <x:t xml:space="preserve">Local business context</x:t>
  </x:si>
  <x:si>
    <x:t xml:space="preserve">Nomis / ONS UK Business Counts</x:t>
  </x:si>
  <x:si>
    <x:t xml:space="preserve">9,825 enterprises; 8,710 micro (88.7%)</x:t>
  </x:si>
  <x:si>
    <x:t xml:space="preserve">All sectors</x:t>
  </x:si>
  <x:si>
    <x:t xml:space="preserve">Supports small-business resource context</x:t>
  </x:si>
  <x:si>
    <x:t xml:space="preserve">Waste baseline</x:t>
  </x:si>
  <x:si>
    <x:t xml:space="preserve">DEFRA UK Food Security Report 2024</x:t>
  </x:si>
  <x:si>
    <x:t xml:space="preserve">10.7m tonnes UK food waste in 2021; HaFS 1.1m</x:t>
  </x:si>
  <x:si>
    <x:t xml:space="preserve">National aggregate</x:t>
  </x:si>
  <x:si>
    <x:t xml:space="preserve">Problem scale; no FreshRoute attribution</x:t>
  </x:si>
  <x:si>
    <x:t xml:space="preserve">Commercial waste context</x:t>
  </x:si>
  <x:si>
    <x:t xml:space="preserve">WRAP Hospitality and Food Service</x:t>
  </x:si>
  <x:si>
    <x:t xml:space="preserve">£3.2bn/year and ~£10k/outlet annual cost</x:t>
  </x:si>
  <x:si>
    <x:t xml:space="preserve">Sector-wide average</x:t>
  </x:si>
  <x:si>
    <x:t xml:space="preserve">Commercial rationale only</x:t>
  </x:si>
  <x:si>
    <x:t xml:space="preserve">Included with caution</x:t>
  </x:si>
  <x:si>
    <x:t xml:space="preserve">Current waste practice</x:t>
  </x:si>
  <x:si>
    <x:t xml:space="preserve">WRAP bin-to-bottomline 2025</x:t>
  </x:si>
  <x:si>
    <x:t xml:space="preserve">Waste can exceed £4/kg total cost</x:t>
  </x:si>
  <x:si>
    <x:t xml:space="preserve">Large foodservice emphasis</x:t>
  </x:si>
  <x:si>
    <x:t xml:space="preserve">Supports total-cost framing</x:t>
  </x:si>
  <x:si>
    <x:t xml:space="preserve">Compliance</x:t>
  </x:si>
  <x:si>
    <x:t xml:space="preserve">Food Standards Agency chilled foods</x:t>
  </x:si>
  <x:si>
    <x:t xml:space="preserve">Below 8°C legal; 5°C or below recommended</x:t>
  </x:si>
  <x:si>
    <x:t xml:space="preserve">Other product-specific rules may apply</x:t>
  </x:si>
  <x:si>
    <x:t xml:space="preserve">Hard operating constraint</x:t>
  </x:si>
  <x:si>
    <x:t xml:space="preserve">Cost benchmark</x:t>
  </x:si>
  <x:si>
    <x:t xml:space="preserve">Maun Motors refrigerated vehicle tariff</x:t>
  </x:si>
  <x:si>
    <x:t xml:space="preserve">£70/day excl VAT and insurance</x:t>
  </x:si>
  <x:si>
    <x:t xml:space="preserve">Not Coventry quote</x:t>
  </x:si>
  <x:si>
    <x:t xml:space="preserve">Route-cost component benchmark</x:t>
  </x:si>
  <x:si>
    <x:t xml:space="preserve">GOV.UK NLW 2026</x:t>
  </x:si>
  <x:si>
    <x:t xml:space="preserve">£12.71/hour</x:t>
  </x:si>
  <x:si>
    <x:t xml:space="preserve">Minimum, not market wage</x:t>
  </x:si>
  <x:si>
    <x:t xml:space="preserve">Labour floor</x:t>
  </x:si>
  <x:si>
    <x:t xml:space="preserve">Competitors</x:t>
  </x:si>
  <x:si>
    <x:t xml:space="preserve">Booker / Bidfood / Brakes official pages</x:t>
  </x:si>
  <x:si>
    <x:t xml:space="preserve">Strong integrated delivery; published thresholds where available</x:t>
  </x:si>
  <x:si>
    <x:t xml:space="preserve">Company marketing and location-specific terms</x:t>
  </x:si>
  <x:si>
    <x:t xml:space="preserve">Refine differentiation</x:t>
  </x:si>
  <x:si>
    <x:t xml:space="preserve">Recent literature</x:t>
  </x:si>
  <x:si>
    <x:t xml:space="preserve">Stoeva et al. 2024</x:t>
  </x:si>
  <x:si>
    <x:t xml:space="preserve">Seven interaction mechanisms in European short-food-supply collaboration</x:t>
  </x:si>
  <x:si>
    <x:t xml:space="preserve">14 initiatives; not UK cold-chain SME specific</x:t>
  </x:si>
  <x:si>
    <x:t xml:space="preserve">Governance design</x:t>
  </x:si>
  <x:si>
    <x:t xml:space="preserve">Tariq &amp; Ali 2025</x:t>
  </x:si>
  <x:si>
    <x:t xml:space="preserve">Fragmented technology/information integration associated with higher costs and food loss/waste</x:t>
  </x:si>
  <x:si>
    <x:t xml:space="preserve">South/Southeast Asia sample</x:t>
  </x:si>
  <x:si>
    <x:t xml:space="preserve">Supports simple integration + collaboration argument</x:t>
  </x:si>
  <x:si>
    <x:t xml:space="preserve">Giampoldaki et al. 2021</x:t>
  </x:si>
  <x:si>
    <x:t xml:space="preserve">Strategic/tactical/operational factors drive UCC long-term viability</x:t>
  </x:si>
  <x:si>
    <x:t xml:space="preserve">Urban consolidation broader than chilled SME food</x:t>
  </x:si>
  <x:si>
    <x:t xml:space="preserve">Viability framework</x:t>
  </x:si>
  <x:si>
    <x:t xml:space="preserve">Apanasevic &amp; Fjällström 2026</x:t>
  </x:si>
  <x:si>
    <x:t xml:space="preserve">Consolidation can improve efficiency but structural/economic/organisational barriers remain</x:t>
  </x:si>
  <x:si>
    <x:t xml:space="preserve">Very recent; low citation count; Gothenburg context</x:t>
  </x:si>
  <x:si>
    <x:t xml:space="preserve">Current implementation lens</x:t>
  </x:si>
  <x:si>
    <x:t xml:space="preserve">18 Sep 2026</x:t>
  </x:si>
  <x:si>
    <x:t xml:space="preserve">Transport-cost audit</x:t>
  </x:si>
  <x:si>
    <x:t xml:space="preserve">Maun Motors + VMS refrigerated vehicle benchmarks</x:t>
  </x:si>
  <x:si>
    <x:t xml:space="preserve">Maun publishes £70/day ex VAT/insurance and 801-1000kg payload; VMS publishes all-in short-term refrigerated hire benchmarks.</x:t>
  </x:si>
  <x:si>
    <x:t xml:space="preserve">Vehicle hire is not an outsourced 3PL route quotation.</x:t>
  </x:si>
  <x:si>
    <x:t xml:space="preserve">Retain self-operated costs only as comparators; main operating model now uses a contracted 3PL cost envelope.</x:t>
  </x:si>
  <x:si>
    <x:t xml:space="preserve">RQ3/RQ4</x:t>
  </x:si>
  <x:si>
    <x:t xml:space="preserve">Internal consistency audit</x:t>
  </x:si>
  <x:si>
    <x:t xml:space="preserve">3PL architecture vs self-operated cost build</x:t>
  </x:si>
  <x:si>
    <x:t xml:space="preserve">Previous version described a contracted 3PL while costing a hired van + driver + fuel model.</x:t>
  </x:si>
  <x:si>
    <x:t xml:space="preserve">The mismatch could materially distort commercial feasibility.</x:t>
  </x:si>
  <x:si>
    <x:t xml:space="preserve">Corrected: contracted 3PL is the operating architecture; £214.66 remains a self-operated comparator only.</x:t>
  </x:si>
  <x:si>
    <x:t xml:space="preserve">Corrected</x:t>
  </x:si>
  <x:si>
    <x:t xml:space="preserve">This workbook</x:t>
  </x:si>
  <x:si>
    <x:t xml:space="preserve">Market-size update</x:t>
  </x:si>
  <x:si>
    <x:t xml:space="preserve">FSA Coventry current open-data page</x:t>
  </x:si>
  <x:si>
    <x:t xml:space="preserve">3,015 listed food businesses in Coventry, update 17 Sep 2026.</x:t>
  </x:si>
  <x:si>
    <x:t xml:space="preserve">Headline count does not identify independence, chilled intensity, supplier fragmentation or compact geography.</x:t>
  </x:si>
  <x:si>
    <x:t xml:space="preserve">Removed arbitrary numeric SAM percentages; use a transparent screening frame and do not claim a numeric SAM.</x:t>
  </x:si>
  <x:si>
    <x:t xml:space="preserve">https://ratings.food.gov.uk/open-data</x:t>
  </x:si>
  <x:si>
    <x:t xml:space="preserve">Regulatory audit</x:t>
  </x:si>
  <x:si>
    <x:t xml:space="preserve">FSA/GOV.UK registration + Regulation 852/2004 transport rules</x:t>
  </x:si>
  <x:si>
    <x:t xml:space="preserve">Distribution/brokerage can require registration; transport controls cover hygiene, separation, contamination and temperature capability/monitoring.</x:t>
  </x:si>
  <x:si>
    <x:t xml:space="preserve">Final responsibility depends on chosen architecture and local-authority interpretation.</x:t>
  </x:si>
  <x:si>
    <x:t xml:space="preserve">G0 requires written registration/FBO position and responsibility sign-off before pilot.</x:t>
  </x:si>
  <x:si>
    <x:t xml:space="preserve">https://www.gov.uk/guidance/food-business-registration</x:t>
  </x:si>
  <x:si>
    <x:t xml:space="preserve">Commercial pricing audit</x:t>
  </x:si>
  <x:si>
    <x:t xml:space="preserve">HMRC mileage + NLW customer-collection comparator</x:t>
  </x:si>
  <x:si>
    <x:t xml:space="preserve">Scenario collection costs of roughly £18/£30/£42 can be constructed from 1-2 hours of owner/staff time and 10-30 miles.</x:t>
  </x:si>
  <x:si>
    <x:t xml:space="preserve">Not observed customer cost or willingness to pay; HMRC mileage is a tax/simplified-cost proxy.</x:t>
  </x:si>
  <x:si>
    <x:t xml:space="preserve">Use only as a transparent basis for G1 price conversations, not as demand proof.</x:t>
  </x:si>
  <x:si>
    <x:t xml:space="preserve">Working analysis</x:t>
  </x:si>
  <x:si>
    <x:t xml:space="preserve">https://www.gov.uk/government/publications/rates-and-allowances-travel-mileage-and-fuel-allowances/travel-mileage-and-fuel-rates-and-allowances</x:t>
  </x:si>
  <x:si>
    <x:t xml:space="preserve">Ref</x:t>
  </x:si>
  <x:si>
    <x:t xml:space="preserve">Use</x:t>
  </x:si>
  <x:si>
    <x:t xml:space="preserve">S01</x:t>
  </x:si>
  <x:si>
    <x:t xml:space="preserve">Local food-business universe</x:t>
  </x:si>
  <x:si>
    <x:t xml:space="preserve">S02</x:t>
  </x:si>
  <x:si>
    <x:t xml:space="preserve">Nomis / ONS. Labour Market Profile - Coventry, UK Business Counts 2025.</x:t>
  </x:si>
  <x:si>
    <x:t xml:space="preserve">Local enterprise structure</x:t>
  </x:si>
  <x:si>
    <x:t xml:space="preserve">S03</x:t>
  </x:si>
  <x:si>
    <x:t xml:space="preserve">DEFRA. United Kingdom Food Security Report 2024, Theme 2.</x:t>
  </x:si>
  <x:si>
    <x:t xml:space="preserve">UK food-waste baseline</x:t>
  </x:si>
  <x:si>
    <x:t xml:space="preserve">S04</x:t>
  </x:si>
  <x:si>
    <x:t xml:space="preserve">WRAP. Hospitality and food service.</x:t>
  </x:si>
  <x:si>
    <x:t xml:space="preserve">Food-waste cost / outlet context</x:t>
  </x:si>
  <x:si>
    <x:t xml:space="preserve">S05</x:t>
  </x:si>
  <x:si>
    <x:t xml:space="preserve">WRAP. From bin to bottomline - a cost saving food waste prevention blueprint (2025).</x:t>
  </x:si>
  <x:si>
    <x:t xml:space="preserve">Cost-of-waste context</x:t>
  </x:si>
  <x:si>
    <x:t xml:space="preserve">S06</x:t>
  </x:si>
  <x:si>
    <x:t xml:space="preserve">Food Standards Agency. Storing chilled foods at incorrect temperatures.</x:t>
  </x:si>
  <x:si>
    <x:t xml:space="preserve">Cold-chain rule / guidance</x:t>
  </x:si>
  <x:si>
    <x:t xml:space="preserve">S07</x:t>
  </x:si>
  <x:si>
    <x:t xml:space="preserve">Low Pay Commission / GOV.UK. National Living Wage increases to £12.71 per hour (2026).</x:t>
  </x:si>
  <x:si>
    <x:t xml:space="preserve">Labour cost floor</x:t>
  </x:si>
  <x:si>
    <x:t xml:space="preserve">S08</x:t>
  </x:si>
  <x:si>
    <x:t xml:space="preserve">HMRC / GOV.UK. National Insurance rates and allowances, 2026-27.</x:t>
  </x:si>
  <x:si>
    <x:t xml:space="preserve">Employer on-cost</x:t>
  </x:si>
  <x:si>
    <x:t xml:space="preserve">S09</x:t>
  </x:si>
  <x:si>
    <x:t xml:space="preserve">DESNZ. Weekly road fuel prices (updated 8 Sep 2026).</x:t>
  </x:si>
  <x:si>
    <x:t xml:space="preserve">S10</x:t>
  </x:si>
  <x:si>
    <x:t xml:space="preserve">Maun Motors Self Drive. Refrigerated vehicle hire.</x:t>
  </x:si>
  <x:si>
    <x:t xml:space="preserve">Regional public van-hire benchmark</x:t>
  </x:si>
  <x:si>
    <x:t xml:space="preserve">S11</x:t>
  </x:si>
  <x:si>
    <x:t xml:space="preserve">Booker Wholesale. Delivery services / Marketplace.</x:t>
  </x:si>
  <x:si>
    <x:t xml:space="preserve">S12</x:t>
  </x:si>
  <x:si>
    <x:t xml:space="preserve">Bidfood. UK foodservice distributor / London minimum order page.</x:t>
  </x:si>
  <x:si>
    <x:t xml:space="preserve">S13</x:t>
  </x:si>
  <x:si>
    <x:t xml:space="preserve">Brakes. Restaurant foodservice proposition.</x:t>
  </x:si>
  <x:si>
    <x:t xml:space="preserve">S14</x:t>
  </x:si>
  <x:si>
    <x:t xml:space="preserve">Stoeva, S. et al. (2024). Understanding collaboration in short food supply chains. Agricultural and Food Economics, 12.</x:t>
  </x:si>
  <x:si>
    <x:t xml:space="preserve">Current collaboration literature</x:t>
  </x:si>
  <x:si>
    <x:t xml:space="preserve">S15</x:t>
  </x:si>
  <x:si>
    <x:t xml:space="preserve">Tariq, H., &amp; Ali, M. H. (2025). Reducing food loss and waste within cold food supply chains. British Food Journal.</x:t>
  </x:si>
  <x:si>
    <x:t xml:space="preserve">Current cold-chain literature</x:t>
  </x:si>
  <x:si>
    <x:t xml:space="preserve">S16</x:t>
  </x:si>
  <x:si>
    <x:t xml:space="preserve">Giampoldaki, E. et al. (2021). A state-of-practice review of urban consolidation centres. International Journal of Logistics Research and Applications, 26, 732-763.</x:t>
  </x:si>
  <x:si>
    <x:t xml:space="preserve">Consolidation viability</x:t>
  </x:si>
  <x:si>
    <x:t xml:space="preserve">S17</x:t>
  </x:si>
  <x:si>
    <x:t xml:space="preserve">Apanasevic, T., &amp; Fjällström, A. (2026). Towards Sustainable Urban Freight: A Collaborative Business Model Framework for Last-Mile Consolidation Centres. World Electric Vehicle Journal.</x:t>
  </x:si>
  <x:si>
    <x:t xml:space="preserve">Current consolidation business-model literature</x:t>
  </x:si>
  <x:si>
    <x:t xml:space="preserve">S18</x:t>
  </x:si>
  <x:si>
    <x:t xml:space="preserve">Food Standards Agency. (2026). Starting a food business.</x:t>
  </x:si>
  <x:si>
    <x:t xml:space="preserve">Food-business registration / distribution status</x:t>
  </x:si>
  <x:si>
    <x:t xml:space="preserve">https://www.food.gov.uk/print/pdf/node/14251</x:t>
  </x:si>
  <x:si>
    <x:t xml:space="preserve">S19</x:t>
  </x:si>
  <x:si>
    <x:t xml:space="preserve">Food Standards Agency / GOV.UK. Food safety for food delivery.</x:t>
  </x:si>
  <x:si>
    <x:t xml:space="preserve">Transport hygiene, HACCP, cross-contamination</x:t>
  </x:si>
  <x:si>
    <x:t xml:space="preserve">https://www.gov.uk/government/publications/food-safety-for-food-delivery/food-safety-for-food-delivery</x:t>
  </x:si>
  <x:si>
    <x:t xml:space="preserve">S20</x:t>
  </x:si>
  <x:si>
    <x:t xml:space="preserve">UKHospitality. (2026). Smarter purchasing to manage pressures in the UK hospitality market.</x:t>
  </x:si>
  <x:si>
    <x:t xml:space="preserve">Commercial evidence on supplier fragmentation, delivery days and MOQs</x:t>
  </x:si>
  <x:si>
    <x:t xml:space="preserve">https://www.ukhospitality.org.uk/smarter-purchasing-to-manage-pressures-in-the-uk-hospitality-market/</x:t>
  </x:si>
  <x:si>
    <x:t xml:space="preserve">S21</x:t>
  </x:si>
  <x:si>
    <x:t xml:space="preserve">Dyer, J. H., &amp; Singh, H. (1998). The relational view: Cooperative strategy and sources of interorganizational competitive advantage. Academy of Management Review, 23(4), 660-679.</x:t>
  </x:si>
  <x:si>
    <x:t xml:space="preserve">Theoretical lens for knowledge sharing, complementary capabilities and governance</x:t>
  </x:si>
  <x:si>
    <x:t xml:space="preserve">https://doi.org/10.5465/AMR.1998.1255632</x:t>
  </x:si>
  <x:si>
    <x:t xml:space="preserve">S22</x:t>
  </x:si>
  <x:si>
    <x:t xml:space="preserve">Local Government Association. (2024). From ground to table: The role of local government in local food and drink supply chains.</x:t>
  </x:si>
  <x:si>
    <x:t xml:space="preserve">Current UK local-food supply-chain context</x:t>
  </x:si>
  <x:si>
    <x:t xml:space="preserve">https://www.local.gov.uk/publications/ground-table-role-local-government-local-food-and-drink-supply-chains</x:t>
  </x:si>
  <x:si>
    <x:t xml:space="preserve">S23</x:t>
  </x:si>
  <x:si>
    <x:t xml:space="preserve">VMS Vehicle Hire. (2026). Refrigerated vehicle &amp; trailer hire fleet.</x:t>
  </x:si>
  <x:si>
    <x:t xml:space="preserve">All-in refrigerated vehicle hire comparator; published prices include VAT, insurance and breakdown cover.</x:t>
  </x:si>
  <x:si>
    <x:t xml:space="preserve">S24</x:t>
  </x:si>
  <x:si>
    <x:t xml:space="preserve">HM Revenue &amp; Customs. (2026). Travel - mileage and fuel rates and allowances.</x:t>
  </x:si>
  <x:si>
    <x:t xml:space="preserve">55p/mile 2026-27 business-mileage proxy used only in the customer collection-cost comparator.</x:t>
  </x:si>
  <x:si>
    <x:t xml:space="preserve">S25</x:t>
  </x:si>
  <x:si>
    <x:t xml:space="preserve">Regulation (EC) No 852/2004, Annex II, Chapter IV (transport).</x:t>
  </x:si>
  <x:si>
    <x:t xml:space="preserve">Transport hygiene, separation, cleaning, contamination prevention and temperature capability/monitoring.</x:t>
  </x:si>
  <x:si>
    <x:t xml:space="preserve">https://www.legislation.gov.uk/eur/2004/852/pdfs/eur_20040852_2009-04-20_en.pdf</x:t>
  </x:si>
  <x:si>
    <x:t xml:space="preserve">S26</x:t>
  </x:si>
  <x:si>
    <x:t xml:space="preserve">Kotler, P., Keller, K. L., &amp; Chernev, A. (2022). Marketing Management (16th ed.). Pearson.</x:t>
  </x:si>
  <x:si>
    <x:t xml:space="preserve">STP and marketing-management structure used to organise target-market decisions.</x:t>
  </x:si>
  <x:si>
    <x:t xml:space="preserve">https://www.pearson.com/en-gb/subject-catalog/p/marketing-management-global-edition/P200000004662</x:t>
  </x:si>
  <x:si>
    <x:t xml:space="preserve">S27</x:t>
  </x:si>
  <x:si>
    <x:t xml:space="preserve">Slack, N., Brandon-Jones, A., &amp; Burgess, N. (2022). Operations Management (10th ed.). Pearson.</x:t>
  </x:si>
  <x:si>
    <x:t xml:space="preserve">Operations design, capacity and planning/control lens.</x:t>
  </x:si>
  <x:si>
    <x:t xml:space="preserve">https://www.pearson.com/se/Nordics-Higher-Education/subject-catalogue/decision-science/slack-operations-management-10thedition.html</x:t>
  </x:si>
  <x:si>
    <x:t xml:space="preserve">S28</x:t>
  </x:si>
  <x:si>
    <x:t xml:space="preserve">Food Standards Agency. (2026). Food business registration.</x:t>
  </x:si>
  <x:si>
    <x:t xml:space="preserve">Current registration guidance for food distribution, brokerage and food supply.</x:t>
  </x:si>
  <x:si>
    <x:t xml:space="preserve">Supplier pickups</x:t>
  </x:si>
  <x:si>
    <x:t xml:space="preserve">SME drops</x:t>
  </x:si>
  <x:si>
    <x:t xml:space="preserve">Distance (km)</x:t>
  </x:si>
  <x:si>
    <x:t xml:space="preserve">Avg speed (km/h)</x:t>
  </x:si>
  <x:si>
    <x:t xml:space="preserve">Pickup service (min)</x:t>
  </x:si>
  <x:si>
    <x:t xml:space="preserve">SME service (min)</x:t>
  </x:si>
  <x:si>
    <x:t xml:space="preserve">Temp check / stop (min)</x:t>
  </x:si>
  <x:si>
    <x:t xml:space="preserve">Setup (min)</x:t>
  </x:si>
  <x:si>
    <x:t xml:space="preserve">Contingency (min)</x:t>
  </x:si>
  <x:si>
    <x:t xml:space="preserve">Total stops</x:t>
  </x:si>
  <x:si>
    <x:t xml:space="preserve">Driving (min)</x:t>
  </x:si>
  <x:si>
    <x:t xml:space="preserve">Stop/service (min)</x:t>
  </x:si>
  <x:si>
    <x:t xml:space="preserve">Total route (min)</x:t>
  </x:si>
  <x:si>
    <x:t xml:space="preserve">Route hours</x:t>
  </x:si>
  <x:si>
    <x:t xml:space="preserve">7.5h feasible?</x:t>
  </x:si>
  <x:si>
    <x:t xml:space="preserve">Estimated route-day cost</x:t>
  </x:si>
  <x:si>
    <x:t xml:space="preserve">Cost / SME drop</x:t>
  </x:si>
  <x:si>
    <x:t xml:space="preserve">Payload capacity (kg)</x:t>
  </x:si>
  <x:si>
    <x:t xml:space="preserve">Avg load / SME drop (kg)</x:t>
  </x:si>
  <x:si>
    <x:t xml:space="preserve">Estimated peak load (kg)</x:t>
  </x:si>
  <x:si>
    <x:t xml:space="preserve">Payload feasible?</x:t>
  </x:si>
  <x:si>
    <x:t xml:space="preserve">Receiving-window status</x:t>
  </x:si>
  <x:si>
    <x:t xml:space="preserve">Low density</x:t>
  </x:si>
  <x:si>
    <x:t xml:space="preserve">Not validated - actual SME receiving windows required at G1</x:t>
  </x:si>
  <x:si>
    <x:t xml:space="preserve">Base</x:t>
  </x:si>
  <x:si>
    <x:t xml:space="preserve">Stretch feasible</x:t>
  </x:si>
  <x:si>
    <x:t xml:space="preserve">High density</x:t>
  </x:si>
  <x:si>
    <x:t xml:space="preserve">Operating architecture</x:t>
  </x:si>
  <x:si>
    <x:t xml:space="preserve">SMEs buy/pay suppliers directly. FreshRoute does not own speculative stock. Contracted refrigerated transport collects pre-labelled orders from a limited number of approved supplier nodes, keeps loads segregated/sequenced, and delivers them to participating SMEs.</x:t>
  </x:si>
  <x:si>
    <x:t xml:space="preserve">Planning capacity</x:t>
  </x:si>
  <x:si>
    <x:t xml:space="preserve">The 14-drop scenario remains below 7.5 hours and is used as the operational planning ceiling. The 16-drop scenario exceeds the threshold and triggers another route day.</x:t>
  </x:si>
  <x:si>
    <x:t xml:space="preserve">Boundary</x:t>
  </x:si>
  <x:si>
    <x:t xml:space="preserve">Capacity is a planning scenario, not an observed Coventry route. Actual stop time and geography must replace these inputs during the controlled pilot.</x:t>
  </x:si>
  <x:si>
    <x:t xml:space="preserve">Additional capacity controls</x:t>
  </x:si>
  <x:si>
    <x:t xml:space="preserve">Payload logic</x:t>
  </x:si>
  <x:si>
    <x:t xml:space="preserve">The L2 refrigerated Transit benchmark publishes an approximate 801-1000 kg payload. The model uses 1,000 kg as a planning ceiling and an 80% operating buffer. Average order weight remains a scenario input.</x:t>
  </x:si>
  <x:si>
    <x:t xml:space="preserve">Delivery windows</x:t>
  </x:si>
  <x:si>
    <x:t xml:space="preserve">A route can fit within 7.5 hours and still be commercially infeasible if customers require the same narrow receiving window. Actual receiving windows are therefore a G1 qualification field.</x:t>
  </x:si>
  <x:si>
    <x:t xml:space="preserve">Freshness rule</x:t>
  </x:si>
  <x:si>
    <x:t xml:space="preserve">Product eligibility is defined by supplier/product-specific remaining shelf life and maximum acceptable route/dwell exposure. No universal shelf-life value is assumed.</x:t>
  </x:si>
  <x:si>
    <x:t xml:space="preserve">Market layer</x:t>
  </x:si>
  <x:si>
    <x:t xml:space="preserve">Observed / derived</x:t>
  </x:si>
  <x:si>
    <x:t xml:space="preserve">What it means</x:t>
  </x:si>
  <x:si>
    <x:t xml:space="preserve">What it does NOT mean</x:t>
  </x:si>
  <x:si>
    <x:t xml:space="preserve">Decision use</x:t>
  </x:si>
  <x:si>
    <x:t xml:space="preserve">FSA Coventry food-business universe</x:t>
  </x:si>
  <x:si>
    <x:t xml:space="preserve">Observed current open data</x:t>
  </x:si>
  <x:si>
    <x:t xml:space="preserve">All registered food businesses listed for Coventry on 17 September 2026.</x:t>
  </x:si>
  <x:si>
    <x:t xml:space="preserve">Not the FreshRoute addressable market; includes chains, institutions and non-target operators.</x:t>
  </x:si>
  <x:si>
    <x:t xml:space="preserve">Starting screening frame only.</x:t>
  </x:si>
  <x:si>
    <x:t xml:space="preserve">Target business-type screen</x:t>
  </x:si>
  <x:si>
    <x:t xml:space="preserve">Defined screening rule</x:t>
  </x:si>
  <x:si>
    <x:t xml:space="preserve">Restaurants/cafés/canteens; takeaways; pubs serving food; hotels; delicatessens/specialist retailers and similar operators</x:t>
  </x:si>
  <x:si>
    <x:t xml:space="preserve">Defines the FSA categories most likely to contain target prospects.</x:t>
  </x:si>
  <x:si>
    <x:t xml:space="preserve">Business type does not reveal independence, chilled intensity or supplier fragmentation.</x:t>
  </x:si>
  <x:si>
    <x:t xml:space="preserve">Create the first qualified-prospect list.</x:t>
  </x:si>
  <x:si>
    <x:t xml:space="preserve">Commercial-fit screen</x:t>
  </x:si>
  <x:si>
    <x:t xml:space="preserve">Independent + multiple local/specialist suppliers + chilled/short-shelf-life flows + compatible receiving windows</x:t>
  </x:si>
  <x:si>
    <x:t xml:space="preserve">Defines the actual FreshRoute customer profile.</x:t>
  </x:si>
  <x:si>
    <x:t xml:space="preserve">These characteristics are not contained in the headline FSA count.</x:t>
  </x:si>
  <x:si>
    <x:t xml:space="preserve">Confirm during commercial qualification.</x:t>
  </x:si>
  <x:si>
    <x:t xml:space="preserve">Physical ceiling - 3 route days</x:t>
  </x:si>
  <x:si>
    <x:t xml:space="preserve">Derived</x:t>
  </x:si>
  <x:si>
    <x:t xml:space="preserve">Maximum active SMEs at 2 suitable drops/week if each route carries up to 14 SME drops.</x:t>
  </x:si>
  <x:si>
    <x:t xml:space="preserve">Not a market-size estimate.</x:t>
  </x:si>
  <x:si>
    <x:t xml:space="preserve">Links acquisition to route capacity.</x:t>
  </x:si>
  <x:si>
    <x:t xml:space="preserve">Physical ceiling / FSA universe</x:t>
  </x:si>
  <x:si>
    <x:t xml:space="preserve">Absolute cluster hurdle as a share of the wider FSA universe.</x:t>
  </x:si>
  <x:si>
    <x:t xml:space="preserve">Not market penetration; actual serviceable market is much smaller.</x:t>
  </x:si>
  <x:si>
    <x:t xml:space="preserve">Shows the cluster requirement is small relative to the screening universe.</x:t>
  </x:si>
  <x:si>
    <x:t xml:space="preserve">Numeric SAM</x:t>
  </x:si>
  <x:si>
    <x:t xml:space="preserve">Not claimed</x:t>
  </x:si>
  <x:si>
    <x:t xml:space="preserve">Not available from current secondary evidence</x:t>
  </x:si>
  <x:si>
    <x:t xml:space="preserve">A defensible SAM requires business type, independence, supplier pattern, chilled intensity and geographic compatibility.</x:t>
  </x:si>
  <x:si>
    <x:t xml:space="preserve">The report does not manufacture an eligibility percentage.</x:t>
  </x:si>
  <x:si>
    <x:t xml:space="preserve">G1 converts the screening frame into an evidenced prospect list.</x:t>
  </x:si>
  <x:si>
    <x:t xml:space="preserve">Requirement / control</x:t>
  </x:si>
  <x:si>
    <x:t xml:space="preserve">Supplier</x:t>
  </x:si>
  <x:si>
    <x:t xml:space="preserve">FreshRoute</x:t>
  </x:si>
  <x:si>
    <x:t xml:space="preserve">3PL / carrier</x:t>
  </x:si>
  <x:si>
    <x:t xml:space="preserve">SME recipient</x:t>
  </x:si>
  <x:si>
    <x:t xml:space="preserve">Evidence / control</x:t>
  </x:si>
  <x:si>
    <x:t xml:space="preserve">Primary source</x:t>
  </x:si>
  <x:si>
    <x:t xml:space="preserve">Food-business registration</x:t>
  </x:si>
  <x:si>
    <x:t xml:space="preserve">Own establishment</x:t>
  </x:si>
  <x:si>
    <x:t xml:space="preserve">Register/confirm status if operating as distributor/broker</x:t>
  </x:si>
  <x:si>
    <x:t xml:space="preserve">Own business/vehicle obligations</x:t>
  </x:si>
  <x:si>
    <x:t xml:space="preserve">Registration confirmation before pilot</x:t>
  </x:si>
  <x:si>
    <x:t xml:space="preserve">HACCP / food-safety management</x:t>
  </x:si>
  <x:si>
    <x:t xml:space="preserve">Controls before handover</x:t>
  </x:si>
  <x:si>
    <x:t xml:space="preserve">FreshRoute operating SOP and hazard assessment for coordination/handovers</x:t>
  </x:si>
  <x:si>
    <x:t xml:space="preserve">Transport controls incorporated in HACCP</x:t>
  </x:si>
  <x:si>
    <x:t xml:space="preserve">Receiving/storage controls</x:t>
  </x:si>
  <x:si>
    <x:t xml:space="preserve">Documented SOPs and corrective actions</x:t>
  </x:si>
  <x:si>
    <x:t xml:space="preserve">Temperature control</x:t>
  </x:si>
  <x:si>
    <x:t xml:space="preserve">Release goods within agreed spec</x:t>
  </x:si>
  <x:si>
    <x:t xml:space="preserve">Set 5°C operating target / reject exceptions</x:t>
  </x:si>
  <x:si>
    <x:t xml:space="preserve">Maintain cold chain in vehicle</x:t>
  </x:si>
  <x:si>
    <x:t xml:space="preserve">Check on receipt</x:t>
  </x:si>
  <x:si>
    <x:t xml:space="preserve">Timestamped temperature records; excursion log</x:t>
  </x:si>
  <x:si>
    <x:t xml:space="preserve">Transport hygiene</x:t>
  </x:si>
  <x:si>
    <x:t xml:space="preserve">Suitable packaging / labels</x:t>
  </x:si>
  <x:si>
    <x:t xml:space="preserve">Specify packaging and segregation standard</x:t>
  </x:si>
  <x:si>
    <x:t xml:space="preserve">Clean, suitable vehicle/containers; cleaning between incompatible loads</x:t>
  </x:si>
  <x:si>
    <x:t xml:space="preserve">Inspect packaging on receipt</x:t>
  </x:si>
  <x:si>
    <x:t xml:space="preserve">Cleaning and vehicle-condition checklist</x:t>
  </x:si>
  <x:si>
    <x:t xml:space="preserve">https://www.gov.uk/guidance/starting-a-food-business</x:t>
  </x:si>
  <x:si>
    <x:t xml:space="preserve">Allergen / cross-contamination</x:t>
  </x:si>
  <x:si>
    <x:t xml:space="preserve">Correct labelling / segregation</x:t>
  </x:si>
  <x:si>
    <x:t xml:space="preserve">Define no-mixing and exception rules</x:t>
  </x:si>
  <x:si>
    <x:t xml:space="preserve">Maintain segregation and prevent spill contamination</x:t>
  </x:si>
  <x:si>
    <x:t xml:space="preserve">Verify delivery identity</x:t>
  </x:si>
  <x:si>
    <x:t xml:space="preserve">Package/label checks; segregation record</x:t>
  </x:si>
  <x:si>
    <x:t xml:space="preserve">Traceability / recall</x:t>
  </x:si>
  <x:si>
    <x:t xml:space="preserve">Batch / supplier records</x:t>
  </x:si>
  <x:si>
    <x:t xml:space="preserve">Retain order, handover and route link</x:t>
  </x:si>
  <x:si>
    <x:t xml:space="preserve">Retain delivery/exception evidence</x:t>
  </x:si>
  <x:si>
    <x:t xml:space="preserve">Retain receipt records</x:t>
  </x:si>
  <x:si>
    <x:t xml:space="preserve">Order ID, batch/lot where applicable, timestamps and recipient</x:t>
  </x:si>
  <x:si>
    <x:t xml:space="preserve">FSA/GOV.UK food-safety management guidance</x:t>
  </x:si>
  <x:si>
    <x:t xml:space="preserve">Custody / liability</x:t>
  </x:si>
  <x:si>
    <x:t xml:space="preserve">Until agreed handover point</x:t>
  </x:si>
  <x:si>
    <x:t xml:space="preserve">Coordinate documented transfer; does not take speculative inventory ownership</x:t>
  </x:si>
  <x:si>
    <x:t xml:space="preserve">Custody during contracted transport</x:t>
  </x:si>
  <x:si>
    <x:t xml:space="preserve">Accept/reject at receipt</x:t>
  </x:si>
  <x:si>
    <x:t xml:space="preserve">Contracted transfer points, rejection rights, escalation contacts</x:t>
  </x:si>
  <x:si>
    <x:t xml:space="preserve">Contractual design + FSA controls</x:t>
  </x:si>
  <x:si>
    <x:t xml:space="preserve">STP element</x:t>
  </x:si>
  <x:si>
    <x:t xml:space="preserve">Design</x:t>
  </x:si>
  <x:si>
    <x:t xml:space="preserve">Why it fits FreshRoute</x:t>
  </x:si>
  <x:si>
    <x:t xml:space="preserve">Segmentation</x:t>
  </x:si>
  <x:si>
    <x:t xml:space="preserve">Independent restaurants, cafés, delis/specialist retailers and similar SMEs; segmented further by chilled intensity, supplier count and postcode cluster.</x:t>
  </x:si>
  <x:si>
    <x:t xml:space="preserve">The service only creates value where fragmented chilled flows exist.</x:t>
  </x:si>
  <x:si>
    <x:t xml:space="preserve">Do not target the full FSA universe.</x:t>
  </x:si>
  <x:si>
    <x:t xml:space="preserve">Targeting</x:t>
  </x:si>
  <x:si>
    <x:t xml:space="preserve">Businesses using multiple local/specialist suppliers within one compact Coventry cluster and receiving at least two suitable chilled drops/collections per week.</x:t>
  </x:si>
  <x:si>
    <x:t xml:space="preserve">Density and flow compatibility drive route economics.</x:t>
  </x:si>
  <x:si>
    <x:t xml:space="preserve">Model + literature</x:t>
  </x:si>
  <x:si>
    <x:t xml:space="preserve">Prioritise the densest compatible cluster, not broad city coverage.</x:t>
  </x:si>
  <x:si>
    <x:t xml:space="preserve">Supplier-neutral cold-chain coordination for the fragmented deliveries an SME still needs after its main wholesaler relationship.</x:t>
  </x:si>
  <x:si>
    <x:t xml:space="preserve">Avoids competing directly with Booker/Bidfood/Brakes on range.</x:t>
  </x:si>
  <x:si>
    <x:t xml:space="preserve">Sell coordination/flexibility rather than generic delivery.</x:t>
  </x:si>
  <x:si>
    <x:t xml:space="preserve">Funnel stage</x:t>
  </x:si>
  <x:si>
    <x:t xml:space="preserve">Starting prospects</x:t>
  </x:si>
  <x:si>
    <x:t xml:space="preserve">Conversion to next stage</x:t>
  </x:si>
  <x:si>
    <x:t xml:space="preserve">Purpose</x:t>
  </x:si>
  <x:si>
    <x:t xml:space="preserve">Identified local prospects</x:t>
  </x:si>
  <x:si>
    <x:t xml:space="preserve">Build a sufficiently large prospect pool inside one cluster.</x:t>
  </x:si>
  <x:si>
    <x:t xml:space="preserve">Screened for geography + business type</x:t>
  </x:si>
  <x:si>
    <x:t xml:space="preserve">Remove chains/non-fit locations before sales effort.</x:t>
  </x:si>
  <x:si>
    <x:t xml:space="preserve">Qualified for chilled/multi-supplier fit</x:t>
  </x:si>
  <x:si>
    <x:t xml:space="preserve">Confirm operational fit before quoting.</x:t>
  </x:si>
  <x:si>
    <x:t xml:space="preserve">Commercial proposal / route fit</x:t>
  </x:si>
  <x:si>
    <x:t xml:space="preserve">Scenario designed to reach approximately the 18-SME break-even threshold.</x:t>
  </x:si>
  <x:si>
    <x:t xml:space="preserve">Scenario - not observed conversion</x:t>
  </x:si>
  <x:si>
    <x:t xml:space="preserve">Marketing should be judged by committed route-compatible SMEs rather than impressions or website traffic. The funnel values are planning assumptions and must be replaced by actual commercial conversion data during G1 recruitment.</x:t>
  </x:si>
  <x:si>
    <x:t xml:space="preserve">Month</x:t>
  </x:si>
  <x:si>
    <x:t xml:space="preserve">Drops/SME/week</x:t>
  </x:si>
  <x:si>
    <x:t xml:space="preserve">Route capacity drops/day</x:t>
  </x:si>
  <x:si>
    <x:t xml:space="preserve">Route days/week</x:t>
  </x:si>
  <x:si>
    <x:t xml:space="preserve">Coordinator cost</x:t>
  </x:si>
  <x:si>
    <x:t xml:space="preserve">Other fixed cost</x:t>
  </x:si>
  <x:si>
    <x:t xml:space="preserve">Start-up cost</x:t>
  </x:si>
  <x:si>
    <x:t xml:space="preserve">Operating result</x:t>
  </x:si>
  <x:si>
    <x:t xml:space="preserve">Cumulative cash</x:t>
  </x:si>
  <x:si>
    <x:t xml:space="preserve">Year</x:t>
  </x:si>
  <x:si>
    <x:t xml:space="preserve">Avg active SMEs</x:t>
  </x:si>
  <x:si>
    <x:t xml:space="preserve">Revenue</x:t>
  </x:si>
  <x:si>
    <x:t xml:space="preserve">Handling</x:t>
  </x:si>
  <x:si>
    <x:t xml:space="preserve">Contracted 3PL cost</x:t>
  </x:si>
  <x:si>
    <x:t xml:space="preserve">Other fixed</x:t>
  </x:si>
  <x:si>
    <x:t xml:space="preserve">Operating EBITDA</x:t>
  </x:si>
  <x:si>
    <x:t xml:space="preserve">Year 1</x:t>
  </x:si>
  <x:si>
    <x:t xml:space="preserve">Current £25/drop offer under a staged Year-1 ramp; start-up cost excluded from EBITDA.</x:t>
  </x:si>
  <x:si>
    <x:t xml:space="preserve">Year 2</x:t>
  </x:si>
  <x:si>
    <x:t xml:space="preserve">Current price test: density alone does not create an attractive margin at the contracted-cost scenario.</x:t>
  </x:si>
  <x:si>
    <x:t xml:space="preserve">Year 3</x:t>
  </x:si>
  <x:si>
    <x:t xml:space="preserve">Stress case only. Scale requires a lower contracted route cost and/or a higher validated drop fee.</x:t>
  </x:si>
  <x:si>
    <x:t xml:space="preserve">Start-up envelope</x:t>
  </x:si>
  <x:si>
    <x:t xml:space="preserve">Amount</x:t>
  </x:si>
  <x:si>
    <x:t xml:space="preserve">Lean</x:t>
  </x:si>
  <x:si>
    <x:t xml:space="preserve">Lower-bound planning envelope; excludes the possibility of higher insurance/legal/deposit costs.</x:t>
  </x:si>
  <x:si>
    <x:t xml:space="preserve">Scenario used in Year-1 cash flow</x:t>
  </x:si>
  <x:si>
    <x:t xml:space="preserve">Planning allowance pending quotations.</x:t>
  </x:si>
  <x:si>
    <x:t xml:space="preserve">Conservative</x:t>
  </x:si>
  <x:si>
    <x:t xml:space="preserve">Stress scenario</x:t>
  </x:si>
  <x:si>
    <x:t xml:space="preserve">Tests the effect of higher legal, insurance, deposit, equipment and launch costs.</x:t>
  </x:si>
  <x:si>
    <x:t xml:space="preserve">Funding diagnostic</x:t>
  </x:si>
  <x:si>
    <x:t xml:space="preserve">Minimum cumulative cash</x:t>
  </x:si>
  <x:si>
    <x:t xml:space="preserve">Most negative cumulative position in the £25/drop / £275 route-cost stress case.</x:t>
  </x:si>
  <x:si>
    <x:t xml:space="preserve">Indicative funding need incl. 15% buffer</x:t>
  </x:si>
  <x:si>
    <x:t xml:space="preserve">Stress-case planning buffer, not a funding recommendation.</x:t>
  </x:si>
  <x:si>
    <x:t xml:space="preserve">Source / database</x:t>
  </x:si>
  <x:si>
    <x:t xml:space="preserve">Search / extraction date</x:t>
  </x:si>
  <x:si>
    <x:t xml:space="preserve">Query / extraction route</x:t>
  </x:si>
  <x:si>
    <x:t xml:space="preserve">Evidence type</x:t>
  </x:si>
  <x:si>
    <x:t xml:space="preserve">Included for</x:t>
  </x:si>
  <x:si>
    <x:t xml:space="preserve">Quality control</x:t>
  </x:si>
  <x:si>
    <x:t xml:space="preserve">Detailed log</x:t>
  </x:si>
  <x:si>
    <x:t xml:space="preserve">FSA FHRS open data</x:t>
  </x:si>
  <x:si>
    <x:t xml:space="preserve">Coventry local authority open-data file / business universe</x:t>
  </x:si>
  <x:si>
    <x:t xml:space="preserve">Regulator dataset</x:t>
  </x:si>
  <x:si>
    <x:t xml:space="preserve">Market universe / business-type screening</x:t>
  </x:si>
  <x:si>
    <x:t xml:space="preserve">Current local-authority release; not treated as customer demand</x:t>
  </x:si>
  <x:si>
    <x:t xml:space="preserve">Research Log</x:t>
  </x:si>
  <x:si>
    <x:t xml:space="preserve">Nomis / ONS</x:t>
  </x:si>
  <x:si>
    <x:t xml:space="preserve">Aug-Sep 2026</x:t>
  </x:si>
  <x:si>
    <x:t xml:space="preserve">Coventry UK Business Counts 2025</x:t>
  </x:si>
  <x:si>
    <x:t xml:space="preserve">SME structure</x:t>
  </x:si>
  <x:si>
    <x:t xml:space="preserve">All-sector limitation stated</x:t>
  </x:si>
  <x:si>
    <x:t xml:space="preserve">DEFRA UK Food Security Report</x:t>
  </x:si>
  <x:si>
    <x:t xml:space="preserve">Food waste / supply-chain resilience themes</x:t>
  </x:si>
  <x:si>
    <x:t xml:space="preserve">Problem and resilience context</x:t>
  </x:si>
  <x:si>
    <x:t xml:space="preserve">UK-wide aggregate limitation stated</x:t>
  </x:si>
  <x:si>
    <x:t xml:space="preserve">Hospitality food waste; prevention blueprint</x:t>
  </x:si>
  <x:si>
    <x:t xml:space="preserve">Sector evidence</x:t>
  </x:si>
  <x:si>
    <x:t xml:space="preserve">Waste magnitude / commercial burden</x:t>
  </x:si>
  <x:si>
    <x:t xml:space="preserve">Not treated as proof of FreshRoute causality</x:t>
  </x:si>
  <x:si>
    <x:t xml:space="preserve">Academic literature</x:t>
  </x:si>
  <x:si>
    <x:t xml:space="preserve">horizontal logistics collaboration; cold chain; urban consolidation; local food supply chains</x:t>
  </x:si>
  <x:si>
    <x:t xml:space="preserve">Peer-reviewed research</x:t>
  </x:si>
  <x:si>
    <x:t xml:space="preserve">Mechanisms, barriers, theory, viability</x:t>
  </x:si>
  <x:si>
    <x:t xml:space="preserve">Priority to 2021-2026; older seminal theory retained where necessary</x:t>
  </x:si>
  <x:si>
    <x:t xml:space="preserve">Official competitor pages</x:t>
  </x:si>
  <x:si>
    <x:t xml:space="preserve">Booker / Bidfood / Brakes delivery propositions</x:t>
  </x:si>
  <x:si>
    <x:t xml:space="preserve">Company primary sources</x:t>
  </x:si>
  <x:si>
    <x:t xml:space="preserve">Observable competitor features</x:t>
  </x:si>
  <x:si>
    <x:t xml:space="preserve">Not treated as independent market evidence</x:t>
  </x:si>
  <x:si>
    <x:t xml:space="preserve">Method transparency</x:t>
  </x:si>
  <x:si>
    <x:t xml:space="preserve">Extraction fields</x:t>
  </x:si>
  <x:si>
    <x:t xml:space="preserve">Author/year; geography; study/source type; population/context; key finding; limitation; RQ use; transferability; URL/DOI</x:t>
  </x:si>
  <x:si>
    <x:t xml:space="preserve">Search-count limitation</x:t>
  </x:si>
  <x:si>
    <x:t xml:space="preserve">Exact hit/screened counts were not consistently retained during early exploratory scoping and are not reconstructed retrospectively.</x:t>
  </x:si>
  <x:si>
    <x:t xml:space="preserve">Final audit trail</x:t>
  </x:si>
  <x:si>
    <x:t xml:space="preserve">The final research log records retained evidence, search/source route, limitation, decision/use and verification date.</x:t>
  </x:si>
  <x:si>
    <x:t xml:space="preserve">Quality rule</x:t>
  </x:si>
  <x:si>
    <x:t xml:space="preserve">Official/regulatory sources establish rules and counts; peer-reviewed papers support mechanisms; company pages support observable competitor features only; scenarios never become observed findings.</x:t>
  </x:si>
  <x:si>
    <x:t xml:space="preserve">Contracted 3PL route-day cost</x:t>
  </x:si>
  <x:si>
    <x:t xml:space="preserve">Break-even SMEs @ £25/drop</x:t>
  </x:si>
  <x:si>
    <x:t xml:space="preserve">Break-even SMEs @ £28/drop</x:t>
  </x:si>
  <x:si>
    <x:t xml:space="preserve">Break-even SMEs @ £30/drop</x:t>
  </x:si>
  <x:si>
    <x:t xml:space="preserve">Required drop fee for 10% margin @ 21 SMEs</x:t>
  </x:si>
  <x:si>
    <x:t xml:space="preserve">Required drop fee for 15% margin @ 21 SMEs</x:t>
  </x:si>
  <x:si>
    <x:t xml:space="preserve">Within 21-SME capacity @ £25?</x:t>
  </x:si>
  <x:si>
    <x:t xml:space="preserve">Joint commercial/physical feasibility check for the current £25/drop price.</x:t>
  </x:si>
  <x:si>
    <x:t xml:space="preserve">Decision boundary</x:t>
  </x:si>
  <x:si>
    <x:t xml:space="preserve">Current FSA Coventry universe</x:t>
  </x:si>
  <x:si>
    <x:t xml:space="preserve">Physical customer ceiling at 3 route-days/week</x:t>
  </x:si>
  <x:si>
    <x:t xml:space="preserve">Route-day cost ceiling at £25/drop and 21 SMEs</x:t>
  </x:si>
  <x:si>
    <x:t xml:space="preserve">Self-operated benchmark comparator</x:t>
  </x:si>
  <x:si>
    <x:t xml:space="preserve">Current drop-fee test</x:t>
  </x:si>
  <x:si>
    <x:t xml:space="preserve">Scale target EBITDA margin</x:t>
  </x:si>
  <x:si>
    <x:t xml:space="preserve">Decision rule: FreshRoute is modelled as an outsourced 3PL service. £214.66/day is retained only as a self-operated comparator. At £25/drop and 21 active SMEs, the contracted route-day cost must remain below roughly the route-cost ceiling shown above to avoid operating losses. Higher contracted costs require a higher validated drop fee, lower handling cost, or a redesigned service.</x:t>
  </x:si>
  <x:si>
    <x:t xml:space="preserve">Staff / owner time (h)</x:t>
  </x:si>
  <x:si>
    <x:t xml:space="preserve">Round-trip miles</x:t>
  </x:si>
  <x:si>
    <x:t xml:space="preserve">Time cost @ £12.71/h</x:t>
  </x:si>
  <x:si>
    <x:t xml:space="preserve">Mileage proxy @ 55p/mile</x:t>
  </x:si>
  <x:si>
    <x:t xml:space="preserve">Indicative collection cost</x:t>
  </x:si>
  <x:si>
    <x:t xml:space="preserve">Short collection</x:t>
  </x:si>
  <x:si>
    <x:t xml:space="preserve">Scenario comparator only. Time, distance and use of HMRC mileage as a cost proxy are not observed FreshRoute customer data.</x:t>
  </x:si>
  <x:si>
    <x:t xml:space="preserve">Base comparator</x:t>
  </x:si>
  <x:si>
    <x:t xml:space="preserve">Longer collection</x:t>
  </x:si>
  <x:si>
    <x:t xml:space="preserve">Pricing use: £25/drop is commercially plausible only where it replaces a fragmented collection/delivery activity with an equal or higher economic burden. This comparator does not prove willingness to pay; it provides a transparent basis for price validation during G1.</x:t>
  </x:si>
  <x:si>
    <x:t xml:space="preserve">FreshRoute Decision Artefact - User Guide</x:t>
  </x:si>
  <x:si>
    <x:t xml:space="preserve">Start with the Dashboard. Blue-font cells are planning inputs; green-linked cells are model outputs or cross-sheet links.</x:t>
  </x:si>
  <x:si>
    <x:t xml:space="preserve">Step</x:t>
  </x:si>
  <x:si>
    <x:t xml:space="preserve">Sheet</x:t>
  </x:si>
  <x:si>
    <x:t xml:space="preserve">What to change / review</x:t>
  </x:si>
  <x:si>
    <x:t xml:space="preserve">Key output</x:t>
  </x:si>
  <x:si>
    <x:t xml:space="preserve">Links to</x:t>
  </x:si>
  <x:si>
    <x:t xml:space="preserve">Dashboard</x:t>
  </x:si>
  <x:si>
    <x:t xml:space="preserve">Review the current evidence and the £25/drop threshold case.</x:t>
  </x:si>
  <x:si>
    <x:t xml:space="preserve">Quick summary of whether the configuration is only a threshold case or has headroom.</x:t>
  </x:si>
  <x:si>
    <x:t xml:space="preserve">Assumptions</x:t>
  </x:si>
  <x:si>
    <x:t xml:space="preserve">Edit only clearly labelled Scenario cells when testing a new case. Replace the £275 contracted 3PL route-day cost with a real quote when available.</x:t>
  </x:si>
  <x:si>
    <x:t xml:space="preserve">Scenario inputs</x:t>
  </x:si>
  <x:si>
    <x:t xml:space="preserve">Keeps published evidence, scenarios and derived outputs separate.</x:t>
  </x:si>
  <x:si>
    <x:t xml:space="preserve">Route Feasibility</x:t>
  </x:si>
  <x:si>
    <x:t xml:space="preserve">Change supplier pickups, SME drops, distance, stop times or average order weight.</x:t>
  </x:si>
  <x:si>
    <x:t xml:space="preserve">Route hours, payload, receiving-window status</x:t>
  </x:si>
  <x:si>
    <x:t xml:space="preserve">Tests whether a route is physically workable before looking at profit.</x:t>
  </x:si>
  <x:si>
    <x:t xml:space="preserve">3PL Cost Envelope</x:t>
  </x:si>
  <x:si>
    <x:t xml:space="preserve">Test alternative contracted route-day costs and delivery fees.</x:t>
  </x:si>
  <x:si>
    <x:t xml:space="preserve">Break-even SMEs and fee for 10%/15% margin</x:t>
  </x:si>
  <x:si>
    <x:t xml:space="preserve">Shows whether price, cost and physical capacity can coexist.</x:t>
  </x:si>
  <x:si>
    <x:t xml:space="preserve">Customer Cost Comparator</x:t>
  </x:si>
  <x:si>
    <x:t xml:space="preserve">Adjust time and mileage if a prospect currently self-collects.</x:t>
  </x:si>
  <x:si>
    <x:t xml:space="preserve">Illustrative alternative cost</x:t>
  </x:si>
  <x:si>
    <x:t xml:space="preserve">Supports a transparent commercial conversation; it is not willingness-to-pay evidence.</x:t>
  </x:si>
  <x:si>
    <x:t xml:space="preserve">Forecast</x:t>
  </x:si>
  <x:si>
    <x:t xml:space="preserve">Review the 12-month ramp, start-up envelope and funding diagnostic.</x:t>
  </x:si>
  <x:si>
    <x:t xml:space="preserve">Operating result and cumulative cash</x:t>
  </x:si>
  <x:si>
    <x:t xml:space="preserve">Checks whether growth creates a cash problem when another route-day is triggered.</x:t>
  </x:si>
  <x:si>
    <x:t xml:space="preserve">Compliance Matrix</x:t>
  </x:si>
  <x:si>
    <x:t xml:space="preserve">Review responsibility across supplier, FreshRoute, 3PL and SME.</x:t>
  </x:si>
  <x:si>
    <x:t xml:space="preserve">Control ownership</x:t>
  </x:si>
  <x:si>
    <x:t xml:space="preserve">Identifies what must be confirmed before a live pilot.</x:t>
  </x:si>
  <x:si>
    <x:t xml:space="preserve">Implementation</x:t>
  </x:si>
  <x:si>
    <x:t xml:space="preserve">Review G0-G5 gates and thresholds.</x:t>
  </x:si>
  <x:si>
    <x:t xml:space="preserve">Go/no-go controls</x:t>
  </x:si>
  <x:si>
    <x:t xml:space="preserve">Prevents recurring route commitments before commercial and compliance conditions are met.</x:t>
  </x:si>
  <x:si>
    <x:t xml:space="preserve">RQ2/RQ4</x:t>
  </x:si>
  <x:si>
    <x:t xml:space="preserve">Interpretation rule</x:t>
  </x:si>
  <x:si>
    <x:t xml:space="preserve">The artefact is a decision-support model, not a prediction. Observed and published evidence should not be overwritten. Scenario inputs may be changed to test alternatives. Derived outputs show the consequence if those inputs hold. A live pilot should proceed only after the contracted 3PL quote, customer fit, receiving windows, payload and compliance responsibilities have been validated.</x:t>
  </x:si>
  <x:si>
    <x:t xml:space="preserve">Item</x:t>
  </x:si>
  <x:si>
    <x:t xml:space="preserve">Class</x:t>
  </x:si>
  <x:si>
    <x:t xml:space="preserve">Source / model location</x:t>
  </x:si>
  <x:si>
    <x:t xml:space="preserve">Must be validated before pilot?</x:t>
  </x:si>
  <x:si>
    <x:t xml:space="preserve">Treatment in report</x:t>
  </x:si>
  <x:si>
    <x:t xml:space="preserve">Observed</x:t>
  </x:si>
  <x:si>
    <x:t xml:space="preserve">FSA open data / Dashboard</x:t>
  </x:si>
  <x:si>
    <x:t xml:space="preserve">Local screening universe, not demand or SAM.</x:t>
  </x:si>
  <x:si>
    <x:t xml:space="preserve">No</x:t>
  </x:si>
  <x:si>
    <x:t xml:space="preserve">Observed evidence</x:t>
  </x:si>
  <x:si>
    <x:t xml:space="preserve">UK hospitality &amp; food-service waste</x:t>
  </x:si>
  <x:si>
    <x:t xml:space="preserve">Published</x:t>
  </x:si>
  <x:si>
    <x:t xml:space="preserve">DEFRA / Dashboard</x:t>
  </x:si>
  <x:si>
    <x:t xml:space="preserve">National sector context; not FreshRoute-attributable waste.</x:t>
  </x:si>
  <x:si>
    <x:t xml:space="preserve">Published evidence</x:t>
  </x:si>
  <x:si>
    <x:t xml:space="preserve">Chilled-food legal maximum</x:t>
  </x:si>
  <x:si>
    <x:t xml:space="preserve">FSA / Dashboard</x:t>
  </x:si>
  <x:si>
    <x:t xml:space="preserve">Regulatory limit for relevant chilled foods.</x:t>
  </x:si>
  <x:si>
    <x:t xml:space="preserve">Operating temperature target</x:t>
  </x:si>
  <x:si>
    <x:t xml:space="preserve">Planning rule</x:t>
  </x:si>
  <x:si>
    <x:t xml:space="preserve">FSA guidance / Dashboard</x:t>
  </x:si>
  <x:si>
    <x:t xml:space="preserve">FreshRoute pilot operating target.</x:t>
  </x:si>
  <x:si>
    <x:t xml:space="preserve">Yes - confirm product-specific controls</x:t>
  </x:si>
  <x:si>
    <x:t xml:space="preserve">Planning control</x:t>
  </x:si>
  <x:si>
    <x:t xml:space="preserve">Physical decision case; not observed demand.</x:t>
  </x:si>
  <x:si>
    <x:t xml:space="preserve">Yes</x:t>
  </x:si>
  <x:si>
    <x:t xml:space="preserve">Membership fee</x:t>
  </x:si>
  <x:si>
    <x:t xml:space="preserve">Planning fee; not willingness-to-pay evidence.</x:t>
  </x:si>
  <x:si>
    <x:t xml:space="preserve">Delivery fee per drop</x:t>
  </x:si>
  <x:si>
    <x:t xml:space="preserve">Current price test only.</x:t>
  </x:si>
  <x:si>
    <x:t xml:space="preserve">Handling cost per drop</x:t>
  </x:si>
  <x:si>
    <x:t xml:space="preserve">Partner handling allowance.</x:t>
  </x:si>
  <x:si>
    <x:t xml:space="preserve">Assumptions / 3PL Cost Envelope</x:t>
  </x:si>
  <x:si>
    <x:t xml:space="preserve">Outsourced-route decision case; replace with quotation.</x:t>
  </x:si>
  <x:si>
    <x:t xml:space="preserve">Route Feasibility / Dashboard</x:t>
  </x:si>
  <x:si>
    <x:t xml:space="preserve">Maximum active SMEs under the current 3-route configuration at two drops/week.</x:t>
  </x:si>
  <x:si>
    <x:t xml:space="preserve">Yes - real route data may change it</x:t>
  </x:si>
  <x:si>
    <x:t xml:space="preserve">Derived output</x:t>
  </x:si>
  <x:si>
    <x:t xml:space="preserve">Modelled route time for 4 supplier pickups + 12 SME drops.</x:t>
  </x:si>
  <x:si>
    <x:t xml:space="preserve">3PL cost ceiling at £25/drop</x:t>
  </x:si>
  <x:si>
    <x:t xml:space="preserve">3PL Cost Envelope / Dashboard</x:t>
  </x:si>
  <x:si>
    <x:t xml:space="preserve">Approximate maximum route-day cost before operating losses at 21 SMEs.</x:t>
  </x:si>
  <x:si>
    <x:t xml:space="preserve">Required fee for 15% margin</x:t>
  </x:si>
  <x:si>
    <x:t xml:space="preserve">Model-derived price under the £275 route-day scenario.</x:t>
  </x:si>
  <x:si>
    <x:t xml:space="preserve">Yes - customer price acceptance</x:t>
  </x:si>
  <x:si>
    <x:t xml:space="preserve">Forecast / Dashboard</x:t>
  </x:si>
  <x:si>
    <x:t xml:space="preserve">Modelled cash buffer under current stress assumptions.</x:t>
  </x:si>
  <x:si>
    <x:t xml:space="preserve">Yes - quotations and ramp assumptions</x:t>
  </x:si>
  <x:si>
    <x:t xml:space="preserve">Rule</x:t>
  </x:si>
  <x:si>
    <x:t xml:space="preserve">Observed = directly extracted evidence; Published = external evidence or guidance; Scenario = a planning input that must not be described as observed; Derived = a formula output that is valid only if its inputs hold.</x:t>
  </x:si>
  <x:si>
    <x:t xml:space="preserve">FreshRoute Collective - Business Model Canvas</x:t>
  </x:si>
  <x:si>
    <x:t xml:space="preserve">Key Partners</x:t>
  </x:si>
  <x:si>
    <x:t xml:space="preserve">Key Activities</x:t>
  </x:si>
  <x:si>
    <x:t xml:space="preserve">Value Proposition</x:t>
  </x:si>
  <x:si>
    <x:t xml:space="preserve">Customer Relationships</x:t>
  </x:si>
  <x:si>
    <x:t xml:space="preserve">Customer Segments</x:t>
  </x:si>
  <x:si>
    <x:t xml:space="preserve">• Contracted refrigerated 3PL
• Local / specialist suppliers
• Independent food SMEs
• Insurance / compliance advisers
• Scheduling / temperature-recording providers</x:t>
  </x:si>
  <x:si>
    <x:t xml:space="preserve">• Order cut-off and compatibility checks
• Route coordination and sequencing
• Custody / temperature evidence
• Exception management
• Weekly commercial and service review</x:t>
  </x:si>
  <x:si>
    <x:t xml:space="preserve">• Supplier-neutral coordination
• Fewer fragmented chilled movements
• Continued access to local/specialist supply
• Controlled cold-chain evidence
• Transparent route / price decision logic</x:t>
  </x:si>
  <x:si>
    <x:t xml:space="preserve">• Direct B2B onboarding
• Shared operating rules
• Performance review
• Transparent eligibility and exit criteria</x:t>
  </x:si>
  <x:si>
    <x:t xml:space="preserve">• Independent restaurants and cafés
• Delis / specialist retailers
• Food-serving pubs / small hotels
• Only firms retaining multiple suitable suppliers
• Compact route-compatible geography</x:t>
  </x:si>
  <x:si>
    <x:t xml:space="preserve">Key Resources</x:t>
  </x:si>
  <x:si>
    <x:t xml:space="preserve">Channels</x:t>
  </x:si>
  <x:si>
    <x:t xml:space="preserve">Cost Structure</x:t>
  </x:si>
  <x:si>
    <x:t xml:space="preserve">Revenue Streams</x:t>
  </x:si>
  <x:si>
    <x:t xml:space="preserve">• Coordinator capability
• Contracted 3PL capacity
• Decision-support artefact
• Temperature / custody records
• Partner agreements</x:t>
  </x:si>
  <x:si>
    <x:t xml:space="preserve">• Direct local outreach
• Supplier referrals
• Hospitality / business networks
• Specialist-producer relationships</x:t>
  </x:si>
  <x:si>
    <x:t xml:space="preserve">• 3PL route-day cost
• Handling / cross-dock if required
• Coordinator labour
• Software / compliance / insurance
• Marketing / onboarding</x:t>
  </x:si>
  <x:si>
    <x:t xml:space="preserve">• Monthly coordination fee
• Per-drop delivery charge
• No speculative inventory margin
• Price must preserve operating headroom</x:t>
  </x:si>
  <x:si>
    <x:t xml:space="preserve">Decision boundary: the model should proceed to a controlled pilot only after a qualified cluster, written compliance position, actual 3PL quotation and price/cost combination with acceptable operating headroom are demonstrated.</x:t>
  </x:si>
</x:sst>
</file>

<file path=xl/styles.xml><?xml version="1.0" encoding="utf-8"?>
<x:styleSheet xmlns:x="http://schemas.openxmlformats.org/spreadsheetml/2006/main">
  <x:numFmts count="9">
    <x:numFmt numFmtId="164" formatCode="0.0%"/>
    <x:numFmt numFmtId="165" formatCode="0&quot; °C&quot;"/>
    <x:numFmt numFmtId="166" formatCode="\£#,##0;[Red]\(\£#,##0\);\-"/>
    <x:numFmt numFmtId="167" formatCode="\£#,##0.00;[Red]\(\£#,##0.00\);\-"/>
    <x:numFmt numFmtId="168" formatCode="0.0"/>
    <x:numFmt numFmtId="169" formatCode="#,##0;[Red]\(#,##0\);\-"/>
    <x:numFmt numFmtId="170" formatCode="\£#,##0"/>
    <x:numFmt numFmtId="171" formatCode="\£0.00"/>
    <x:numFmt numFmtId="172" formatCode="0.0&quot; °C&quot;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3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6B6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2F6B6D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2F6B6D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6B6D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87">
    <x:xf numFmtId="0" fontId="0" fillId="0" borderId="0" xfId="0"/>
    <x:xf numFmtId="164" fontId="0" fillId="0" borderId="0" xfId="0" applyNumberFormat="1"/>
    <x:xf numFmtId="0" fontId="3" fillId="2" borderId="0" xfId="0" applyFont="1" applyFill="1" applyAlignment="1">
      <x:alignment wrapText="1"/>
    </x:xf>
    <x:xf numFmtId="0" fontId="4" fillId="5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wrapText="1"/>
    </x:xf>
    <x:xf numFmtId="166" fontId="0" fillId="0" borderId="0" xfId="0" applyNumberFormat="1" applyAlignment="1">
      <x:alignment wrapText="1"/>
    </x:xf>
    <x:xf numFmtId="164" fontId="0" fillId="0" borderId="0" xfId="0" applyNumberFormat="1" applyAlignment="1">
      <x:alignment wrapText="1"/>
    </x:xf>
    <x:xf numFmtId="0" fontId="6" fillId="0" borderId="0" xfId="0" applyFont="1"/>
    <x:xf numFmtId="167" fontId="0" fillId="0" borderId="0" xfId="0" applyNumberFormat="1"/>
    <x:xf numFmtId="167" fontId="6" fillId="0" borderId="0" xfId="0" applyNumberFormat="1" applyFont="1" applyAlignment="1">
      <x:alignment wrapText="1"/>
    </x:xf>
    <x:xf numFmtId="168" fontId="0" fillId="0" borderId="0" xfId="0" applyNumberFormat="1" applyAlignment="1">
      <x:alignment wrapText="1"/>
    </x:xf>
    <x:xf numFmtId="167" fontId="0" fillId="0" borderId="0" xfId="0" applyNumberFormat="1" applyAlignment="1">
      <x:alignment wrapText="1"/>
    </x:xf>
    <x:xf numFmtId="0" fontId="6" fillId="0" borderId="0" xfId="0" applyFont="1" applyAlignment="1">
      <x:alignment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3" fillId="4" borderId="0" xfId="0" applyFont="1" applyFill="1" applyAlignment="1">
      <x:alignment vertical="top" wrapText="1"/>
    </x:xf>
    <x:xf numFmtId="0" fontId="4" fillId="5" borderId="0" xfId="0" applyFont="1" applyFill="1" applyAlignment="1">
      <x:alignment vertical="top" wrapText="1"/>
    </x:xf>
    <x:xf numFmtId="166" fontId="0" fillId="0" borderId="0" xfId="0" applyNumberFormat="1" applyAlignment="1">
      <x:alignment vertical="top" wrapText="1"/>
    </x:xf>
    <x:xf numFmtId="164" fontId="0" fillId="0" borderId="0" xfId="0" applyNumberFormat="1" applyAlignment="1">
      <x:alignment vertical="top" wrapText="1"/>
    </x:xf>
    <x:xf numFmtId="165" fontId="0" fillId="0" borderId="0" xfId="0" applyNumberFormat="1" applyAlignment="1">
      <x:alignment vertical="top" wrapText="1"/>
    </x:xf>
    <x:xf numFmtId="0" fontId="3" fillId="2" borderId="0" xfId="0" applyFont="1" applyFill="1" applyAlignment="1">
      <x:alignment vertical="top" wrapText="1"/>
    </x:xf>
    <x:xf numFmtId="167" fontId="6" fillId="0" borderId="0" xfId="0" applyNumberFormat="1" applyFont="1" applyAlignment="1">
      <x:alignment vertical="top" wrapText="1"/>
    </x:xf>
    <x:xf numFmtId="168" fontId="6" fillId="0" borderId="0" xfId="0" applyNumberFormat="1" applyFont="1" applyAlignment="1">
      <x:alignment vertical="top" wrapText="1"/>
    </x:xf>
    <x:xf numFmtId="164" fontId="6" fillId="0" borderId="0" xfId="0" applyNumberFormat="1" applyFont="1" applyAlignment="1">
      <x:alignment vertical="top" wrapText="1"/>
    </x:xf>
    <x:xf numFmtId="168" fontId="0" fillId="0" borderId="0" xfId="0" applyNumberFormat="1" applyAlignment="1">
      <x:alignment vertical="top" wrapText="1"/>
    </x:xf>
    <x:xf numFmtId="167" fontId="0" fillId="0" borderId="0" xfId="0" applyNumberFormat="1" applyAlignment="1">
      <x:alignment vertical="top" wrapText="1"/>
    </x:xf>
    <x:xf numFmtId="0" fontId="4" fillId="6" borderId="0" xfId="0" applyFont="1" applyFill="1" applyAlignment="1">
      <x:alignment vertical="top" wrapText="1"/>
    </x:xf>
    <x:xf numFmtId="167" fontId="4" fillId="6" borderId="0" xfId="0" applyNumberFormat="1" applyFont="1" applyFill="1" applyAlignment="1">
      <x:alignment vertical="top" wrapText="1"/>
    </x:xf>
    <x:xf numFmtId="0" fontId="6" fillId="0" borderId="0" xfId="0" applyFont="1" applyAlignment="1">
      <x:alignment vertical="top" wrapText="1"/>
    </x:xf>
    <x:xf numFmtId="167" fontId="7" fillId="0" borderId="0" xfId="0" applyNumberFormat="1" applyFont="1" applyAlignment="1">
      <x:alignment vertical="top" wrapText="1"/>
    </x:xf>
    <x:xf numFmtId="169" fontId="0" fillId="0" borderId="0" xfId="0" applyNumberFormat="1" applyAlignment="1">
      <x:alignment vertical="top" wrapText="1"/>
    </x:xf>
    <x:xf numFmtId="0" fontId="3" fillId="4" borderId="0" xfId="0" applyFont="1" applyFill="1" applyAlignment="1">
      <x:alignment vertical="top"/>
    </x:xf>
    <x:xf numFmtId="166" fontId="3" fillId="4" borderId="0" xfId="0" applyNumberFormat="1" applyFont="1" applyFill="1" applyAlignment="1">
      <x:alignment vertical="top"/>
    </x:xf>
    <x:xf numFmtId="166" fontId="0" fillId="0" borderId="0" xfId="0" applyNumberFormat="1" applyAlignment="1">
      <x:alignment vertical="top"/>
    </x:xf>
    <x:xf numFmtId="0" fontId="3" fillId="2" borderId="0" xfId="0" applyFont="1" applyFill="1" applyAlignment="1">
      <x:alignment vertical="top"/>
    </x:xf>
    <x:xf numFmtId="1" fontId="0" fillId="0" borderId="0" xfId="0" applyNumberFormat="1" applyAlignment="1">
      <x:alignment vertical="top" wrapText="1"/>
    </x:xf>
    <x:xf numFmtId="3" fontId="0" fillId="0" borderId="0" xfId="0" applyNumberFormat="1" applyAlignment="1">
      <x:alignment vertical="top" wrapText="1"/>
    </x:xf>
    <x:xf numFmtId="0" fontId="3" fillId="7" borderId="0" xfId="0" applyFont="1" applyFill="1"/>
    <x:xf numFmtId="0" fontId="3" fillId="7" borderId="0" xfId="0" applyFont="1" applyFill="1" applyAlignment="1">
      <x:alignment wrapText="1"/>
    </x:xf>
    <x:xf numFmtId="2" fontId="0" fillId="0" borderId="0" xfId="0" applyNumberFormat="1" applyAlignment="1">
      <x:alignment wrapText="1"/>
    </x:xf>
    <x:xf numFmtId="0" fontId="3" fillId="8" borderId="0" xfId="0" applyFont="1" applyFill="1" applyAlignment="1">
      <x:alignment wrapText="1"/>
    </x:xf>
    <x:xf numFmtId="0" fontId="4" fillId="9" borderId="0" xfId="0" applyFont="1" applyFill="1" applyAlignment="1">
      <x:alignment wrapText="1"/>
    </x:xf>
    <x:xf numFmtId="166" fontId="6" fillId="0" borderId="0" xfId="0" applyNumberFormat="1" applyFont="1" applyAlignment="1">
      <x:alignment wrapText="1"/>
    </x:xf>
    <x:xf numFmtId="0" fontId="3" fillId="7" borderId="0" xfId="0" applyFont="1" applyFill="1" applyAlignment="1">
      <x:alignment vertical="top"/>
    </x:xf>
    <x:xf numFmtId="0" fontId="3" fillId="7" borderId="0" xfId="0" applyFont="1" applyFill="1" applyAlignment="1">
      <x:alignment vertical="top" wrapText="1"/>
    </x:xf>
    <x:xf numFmtId="2" fontId="0" fillId="0" borderId="0" xfId="0" applyNumberFormat="1" applyAlignment="1">
      <x:alignment vertical="top" wrapText="1"/>
    </x:xf>
    <x:xf numFmtId="0" fontId="3" fillId="10" borderId="0" xfId="0" applyFont="1" applyFill="1" applyAlignment="1">
      <x:alignment wrapText="1"/>
    </x:xf>
    <x:xf numFmtId="0" fontId="3" fillId="11" borderId="0" xfId="0" applyFont="1" applyFill="1"/>
    <x:xf numFmtId="167" fontId="6" fillId="0" borderId="0" xfId="0" applyNumberFormat="1" applyFont="1" applyAlignment="1">
      <x:alignment vertical="top"/>
    </x:xf>
    <x:xf numFmtId="0" fontId="3" fillId="11" borderId="0" xfId="0" applyFont="1" applyFill="1" applyAlignment="1">
      <x:alignment vertical="top" wrapText="1"/>
    </x:xf>
    <x:xf numFmtId="0" fontId="3" fillId="11" borderId="0" xfId="0" applyFont="1" applyFill="1" applyAlignment="1">
      <x:alignment wrapText="1"/>
    </x:xf>
    <x:xf numFmtId="0" fontId="4" fillId="13" borderId="0" xfId="0" applyFont="1" applyFill="1" applyAlignment="1">
      <x:alignment wrapText="1"/>
    </x:xf>
    <x:xf numFmtId="166" fontId="3" fillId="11" borderId="0" xfId="0" applyNumberFormat="1" applyFont="1" applyFill="1" applyAlignment="1">
      <x:alignment wrapText="1"/>
    </x:xf>
    <x:xf numFmtId="0" fontId="4" fillId="13" borderId="0" xfId="0" applyFont="1" applyFill="1" applyAlignment="1">
      <x:alignment vertical="top" wrapText="1"/>
    </x:xf>
    <x:xf numFmtId="1" fontId="0" fillId="0" borderId="0" xfId="0" applyNumberFormat="1"/>
    <x:xf numFmtId="3" fontId="0" fillId="0" borderId="0" xfId="0" applyNumberFormat="1"/>
    <x:xf numFmtId="1" fontId="6" fillId="0" borderId="0" xfId="0" applyNumberFormat="1" applyFont="1" applyAlignment="1">
      <x:alignment wrapText="1"/>
    </x:xf>
    <x:xf numFmtId="1" fontId="0" fillId="0" borderId="0" xfId="0" applyNumberFormat="1" applyAlignment="1">
      <x:alignment wrapText="1"/>
    </x:xf>
    <x:xf numFmtId="167" fontId="3" fillId="4" borderId="0" xfId="0" applyNumberFormat="1" applyFont="1" applyFill="1" applyAlignment="1">
      <x:alignment wrapText="1"/>
    </x:xf>
    <x:xf numFmtId="170" fontId="0" fillId="0" borderId="0" xfId="0" applyNumberFormat="1"/>
    <x:xf numFmtId="171" fontId="0" fillId="0" borderId="0" xfId="0" applyNumberFormat="1"/>
    <x:xf numFmtId="170" fontId="6" fillId="0" borderId="0" xfId="0" applyNumberFormat="1" applyFont="1" applyAlignment="1">
      <x:alignment wrapText="1"/>
    </x:xf>
    <x:xf numFmtId="0" fontId="3" fillId="16" borderId="0" xfId="0" applyFont="1" applyFill="1"/>
    <x:xf numFmtId="0" fontId="3" fillId="16" borderId="0" xfId="0" applyFont="1" applyFill="1" applyAlignment="1">
      <x:alignment wrapText="1"/>
    </x:xf>
    <x:xf numFmtId="0" fontId="3" fillId="14" borderId="0" xfId="0" applyFont="1" applyFill="1"/>
    <x:xf numFmtId="0" fontId="3" fillId="14" borderId="0" xfId="0" applyFont="1" applyFill="1" applyAlignment="1">
      <x:alignment wrapText="1"/>
    </x:xf>
    <x:xf numFmtId="3" fontId="0" fillId="0" borderId="0" xfId="0" applyNumberFormat="1" applyAlignment="1">
      <x:alignment wrapText="1"/>
    </x:xf>
    <x:xf numFmtId="172" fontId="0" fillId="0" borderId="0" xfId="0" applyNumberFormat="1" applyAlignment="1">
      <x:alignment wrapText="1"/>
    </x:xf>
    <x:xf numFmtId="0" fontId="1" fillId="2" borderId="0" xfId="0" applyFont="1" applyFill="1" applyAlignment="1">
      <x:alignment vertical="top" wrapText="1"/>
    </x:xf>
    <x:xf numFmtId="0" fontId="1" fillId="7" borderId="0" xfId="0" applyFont="1" applyFill="1" applyAlignment="1">
      <x:alignment vertical="top" wrapText="1"/>
    </x:xf>
    <x:xf numFmtId="0" fontId="2" fillId="3" borderId="0" xfId="0" applyFont="1" applyFill="1" applyAlignment="1">
      <x:alignment vertical="top" wrapText="1"/>
    </x:xf>
    <x:xf numFmtId="0" fontId="5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Font="1" applyFill="1" applyAlignment="1">
      <x:alignment vertical="top"/>
    </x:xf>
    <x:xf numFmtId="0" fontId="0" fillId="3" borderId="0" xfId="0" applyFill="1" applyAlignment="1">
      <x:alignment vertical="top" wrapText="1"/>
    </x:xf>
    <x:xf numFmtId="0" fontId="3" fillId="4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2" fillId="12" borderId="0" xfId="0" applyFont="1" applyFill="1" applyAlignment="1">
      <x:alignment wrapText="1"/>
    </x:xf>
    <x:xf numFmtId="0" fontId="0" fillId="12" borderId="0" xfId="0" applyFill="1" applyAlignment="1">
      <x:alignment wrapText="1"/>
    </x:xf>
    <x:xf numFmtId="0" fontId="1" fillId="14" borderId="0" xfId="0" applyFont="1" applyFill="1"/>
    <x:xf numFmtId="0" fontId="2" fillId="15" borderId="0" xfId="0" applyFont="1" applyFill="1" applyAlignment="1">
      <x:alignment wrapText="1"/>
    </x:xf>
    <x:xf numFmtId="0" fontId="0" fillId="17" borderId="0" xfId="0" applyFill="1" applyAlignment="1">
      <x:alignment wrapText="1"/>
    </x:xf>
    <x:xf numFmtId="0" fontId="0" fillId="15" borderId="0" xfId="0" applyFill="1" applyAlignment="1">
      <x:alignment wrapText="1"/>
    </x:xf>
    <x:xf numFmtId="0" fontId="3" fillId="16" borderId="0" xfId="0" applyFont="1" applyFill="1" applyAlignment="1">
      <x:alignment horizontal="center"/>
    </x:xf>
    <x:xf numFmtId="0" fontId="0" fillId="18" borderId="0" xfId="0" applyFill="1" applyAlignment="1">
      <x:alignment vertical="top" wrapText="1"/>
    </x:xf>
    <x:xf numFmtId="0" fontId="4" fillId="17" borderId="0" xfId="0" applyFont="1" applyFill="1" applyAlignment="1">
      <x:alignment wrapText="1"/>
    </x:xf>
  </x:cellXfs>
  <x:cellStyles count="1">
    <x:cellStyle name="Normal" xfId="0"/>
  </x:cellStyles>
  <x:dxfs count="8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14546b5d34311" /><Relationship Type="http://schemas.openxmlformats.org/officeDocument/2006/relationships/theme" Target="/xl/theme/theme1.xml" Id="R07e0834f06ac435d" /><Relationship Type="http://schemas.openxmlformats.org/officeDocument/2006/relationships/sharedStrings" Target="/xl/sharedStrings.xml" Id="Ree8a2d13830244d1" /><Relationship Type="http://schemas.openxmlformats.org/officeDocument/2006/relationships/worksheet" Target="/xl/worksheets/sheet1.xml" Id="Rf8b440135fb44cd9" /><Relationship Type="http://schemas.openxmlformats.org/officeDocument/2006/relationships/worksheet" Target="/xl/worksheets/sheet2.xml" Id="R138a613507484d5e" /><Relationship Type="http://schemas.openxmlformats.org/officeDocument/2006/relationships/worksheet" Target="/xl/worksheets/sheet3.xml" Id="Ra3c78a2b68024942" /><Relationship Type="http://schemas.openxmlformats.org/officeDocument/2006/relationships/worksheet" Target="/xl/worksheets/sheet4.xml" Id="R3f928c2e395843f4" /><Relationship Type="http://schemas.openxmlformats.org/officeDocument/2006/relationships/worksheet" Target="/xl/worksheets/sheet5.xml" Id="Rbaee18bb0f384546" /><Relationship Type="http://schemas.openxmlformats.org/officeDocument/2006/relationships/worksheet" Target="/xl/worksheets/sheet6.xml" Id="Rcf5ed2c04de8430f" /><Relationship Type="http://schemas.openxmlformats.org/officeDocument/2006/relationships/worksheet" Target="/xl/worksheets/sheet7.xml" Id="Ree2836f5ab234978" /><Relationship Type="http://schemas.openxmlformats.org/officeDocument/2006/relationships/worksheet" Target="/xl/worksheets/sheet8.xml" Id="Ref768beee2014be1" /><Relationship Type="http://schemas.openxmlformats.org/officeDocument/2006/relationships/worksheet" Target="/xl/worksheets/sheet9.xml" Id="R4fbe78805ef34391" /><Relationship Type="http://schemas.openxmlformats.org/officeDocument/2006/relationships/worksheet" Target="/xl/worksheets/sheet10.xml" Id="R97396e5f9b664bce" /><Relationship Type="http://schemas.openxmlformats.org/officeDocument/2006/relationships/worksheet" Target="/xl/worksheets/sheet11.xml" Id="R4eaa8abbcb45481f" /><Relationship Type="http://schemas.openxmlformats.org/officeDocument/2006/relationships/worksheet" Target="/xl/worksheets/sheet12.xml" Id="Ra0180f464822421b" /><Relationship Type="http://schemas.openxmlformats.org/officeDocument/2006/relationships/worksheet" Target="/xl/worksheets/sheet13.xml" Id="R29cd5eb67f4c4d1c" /><Relationship Type="http://schemas.openxmlformats.org/officeDocument/2006/relationships/worksheet" Target="/xl/worksheets/sheet14.xml" Id="Rc5aa394020b84751" /><Relationship Type="http://schemas.openxmlformats.org/officeDocument/2006/relationships/worksheet" Target="/xl/worksheets/sheet15.xml" Id="Rae61c10fd19c4b42" /><Relationship Type="http://schemas.openxmlformats.org/officeDocument/2006/relationships/worksheet" Target="/xl/worksheets/sheet16.xml" Id="R23c66c9439024471" /><Relationship Type="http://schemas.openxmlformats.org/officeDocument/2006/relationships/worksheet" Target="/xl/worksheets/sheet17.xml" Id="R786d4de6143d4cfc" /><Relationship Type="http://schemas.openxmlformats.org/officeDocument/2006/relationships/worksheet" Target="/xl/worksheets/sheet18.xml" Id="Rb938e71ef1794fe1" /><Relationship Type="http://schemas.openxmlformats.org/officeDocument/2006/relationships/worksheet" Target="/xl/worksheets/sheet19.xml" Id="Rdf38623761024e2a" /><Relationship Type="http://schemas.openxmlformats.org/officeDocument/2006/relationships/worksheet" Target="/xl/worksheets/sheet20.xml" Id="Rd4f51b328a1b4a45" /><Relationship Type="http://schemas.openxmlformats.org/officeDocument/2006/relationships/worksheet" Target="/xl/worksheets/sheet21.xml" Id="Ra74fe041d9614511" /><Relationship Type="http://schemas.openxmlformats.org/officeDocument/2006/relationships/worksheet" Target="/xl/worksheets/sheet22.xml" Id="Rfb4cdf92ddbe4f68" /><Relationship Type="http://schemas.openxmlformats.org/officeDocument/2006/relationships/worksheet" Target="/xl/worksheets/sheet23.xml" Id="R6a2ea138d0c147bd" /><Relationship Type="http://schemas.openxmlformats.org/officeDocument/2006/relationships/worksheet" Target="/xl/worksheets/sheet24.xml" Id="Rbb833dacf6eb4a90" /><Relationship Type="http://schemas.openxmlformats.org/officeDocument/2006/relationships/worksheet" Target="/xl/worksheets/sheet25.xml" Id="R9534fda55dc948c6" /><Relationship Type="http://schemas.openxmlformats.org/officeDocument/2006/relationships/worksheet" Target="/xl/worksheets/sheet26.xml" Id="R73820ab9adca46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ef2530d408431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economics - base case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Monthly value</c:v>
          </c:tx>
          <c:cat>
            <c:strRef>
              <c:f>'Unit Economics'!$A$21:$A$27</c:f>
              <c:strCache>
                <c:ptCount val="7"/>
                <c:pt idx="0">
                  <c:v>Membership revenue</c:v>
                </c:pt>
                <c:pt idx="1">
                  <c:v>Delivery revenue</c:v>
                </c:pt>
                <c:pt idx="2">
                  <c:v>Total revenue</c:v>
                </c:pt>
                <c:pt idx="3">
                  <c:v>Handling cost</c:v>
                </c:pt>
                <c:pt idx="4">
                  <c:v>Route cost</c:v>
                </c:pt>
                <c:pt idx="5">
                  <c:v>Fixed overhead</c:v>
                </c:pt>
                <c:pt idx="6">
                  <c:v>EBITDA</c:v>
                </c:pt>
              </c:strCache>
            </c:strRef>
          </c:cat>
          <c:val>
            <c:numRef>
              <c:f>'Unit Economics'!$B$21:$B$27</c:f>
              <c:numCache>
                <c:formatCode>\£#,##0;[Red]\(\£#,##0\);\-</c:formatCode>
                <c:ptCount val="7"/>
                <c:pt idx="0">
                  <c:v>735</c:v>
                </c:pt>
                <c:pt idx="1">
                  <c:v>4550</c:v>
                </c:pt>
                <c:pt idx="2">
                  <c:v>5285</c:v>
                </c:pt>
                <c:pt idx="3">
                  <c:v>546</c:v>
                </c:pt>
                <c:pt idx="4">
                  <c:v>3575</c:v>
                </c:pt>
                <c:pt idx="5">
                  <c:v>1108.3816666666667</c:v>
                </c:pt>
                <c:pt idx="6">
                  <c:v>55.618333333333794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ef2530d40843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condaryDataTable" displayName="SecondaryDataTable" ref="A1:J22" totalsRowShown="0">
  <x:tableColumns count="10">
    <x:tableColumn id="1" name="ID"/>
    <x:tableColumn id="2" name="Theme"/>
    <x:tableColumn id="3" name="Metric / evidence"/>
    <x:tableColumn id="4" name="Value"/>
    <x:tableColumn id="5" name="Unit"/>
    <x:tableColumn id="6" name="Geography / period"/>
    <x:tableColumn id="7" name="Source type"/>
    <x:tableColumn id="8" name="Use in analysis"/>
    <x:tableColumn id="9" name="Limitation"/>
    <x:tableColumn id="10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umptionsTable" displayName="AssumptionsTable" ref="A1:F15" totalsRowShown="0">
  <x:tableColumns count="6">
    <x:tableColumn id="1" name="ID"/>
    <x:tableColumn id="2" name="Model input"/>
    <x:tableColumn id="3" name="Base value"/>
    <x:tableColumn id="4" name="Unit"/>
    <x:tableColumn id="5" name="Status"/>
    <x:tableColumn id="6" name="Rationale /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Table" displayName="CompetitorTable" ref="A1:H6" totalsRowShown="0">
  <x:tableColumns count="8">
    <x:tableColumn id="1" name="Provider"/>
    <x:tableColumn id="2" name="Model"/>
    <x:tableColumn id="3" name="Range / chilled capability"/>
    <x:tableColumn id="4" name="Published order / delivery evidence"/>
    <x:tableColumn id="5" name="Key strength"/>
    <x:tableColumn id="6" name="Weakness / boundary"/>
    <x:tableColumn id="7" name="FreshRoute differentiation to test"/>
    <x:tableColumn id="8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dingsMatrixTable" displayName="FindingsMatrixTable" ref="A1:H9" totalsRowShown="0">
  <x:tableColumns count="8">
    <x:tableColumn id="1" name="Finding ID"/>
    <x:tableColumn id="2" name="RQ"/>
    <x:tableColumn id="3" name="Finding"/>
    <x:tableColumn id="4" name="Evidence basis"/>
    <x:tableColumn id="5" name="Interpretation"/>
    <x:tableColumn id="6" name="Business-plan decision"/>
    <x:tableColumn id="7" name="Confidence"/>
    <x:tableColumn id="8" name="Cau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Table" displayName="OperationsTable" ref="A1:F8" totalsRowShown="0">
  <x:tableColumns count="6">
    <x:tableColumn id="1" name="Stage"/>
    <x:tableColumn id="2" name="Process"/>
    <x:tableColumn id="3" name="Control"/>
    <x:tableColumn id="4" name="Owner"/>
    <x:tableColumn id="5" name="KPI"/>
    <x:tableColumn id="6" name="Evidence / rationa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rketingSalesTable" displayName="MarketingSalesTable" ref="A1:F7" totalsRowShown="0">
  <x:tableColumns count="6">
    <x:tableColumn id="1" name="Element"/>
    <x:tableColumn id="2" name="Recommended design"/>
    <x:tableColumn id="3" name="Reason"/>
    <x:tableColumn id="4" name="Metric"/>
    <x:tableColumn id="5" name="Evidence status"/>
    <x:tableColumn id="6" name="Cau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G7" totalsRowShown="0">
  <x:tableColumns count="7">
    <x:tableColumn id="1" name="Phase"/>
    <x:tableColumn id="2" name="Timing"/>
    <x:tableColumn id="3" name="Decision gate"/>
    <x:tableColumn id="4" name="Activities"/>
    <x:tableColumn id="5" name="Evidence required"/>
    <x:tableColumn id="6" name="Output"/>
    <x:tableColumn id="7" name="Go / no-go r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iskTable" displayName="RiskTable" ref="A1:H9" totalsRowShown="0">
  <x:tableColumns count="8">
    <x:tableColumn id="1" name="Risk"/>
    <x:tableColumn id="2" name="Likelihood (1-5)"/>
    <x:tableColumn id="3" name="Impact (1-5)"/>
    <x:tableColumn id="4" name="Score"/>
    <x:tableColumn id="5" name="Mitigation"/>
    <x:tableColumn id="6" name="Early warning"/>
    <x:tableColumn id="7" name="Owner"/>
    <x:tableColumn id="8" name="Residual view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rtefactKPITable" displayName="ArtefactKPITable" ref="A1:F10" totalsRowShown="0">
  <x:tableColumns count="6">
    <x:tableColumn id="1" name="Dashboard module"/>
    <x:tableColumn id="2" name="Metric"/>
    <x:tableColumn id="3" name="Definition"/>
    <x:tableColumn id="4" name="Target / trigger"/>
    <x:tableColumn id="5" name="Why it matters"/>
    <x:tableColumn id="6" name="Data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LogTable" displayName="ResearchLogTable" ref="A1:I14" totalsRowShown="0">
  <x:tableColumns count="9">
    <x:tableColumn id="1" name="Date"/>
    <x:tableColumn id="2" name="Stage"/>
    <x:tableColumn id="3" name="Search / source"/>
    <x:tableColumn id="4" name="Evidence retained"/>
    <x:tableColumn id="5" name="Critical limitation"/>
    <x:tableColumn id="6" name="Decision / use"/>
    <x:tableColumn id="7" name="RQ"/>
    <x:tableColumn id="8" name="Status"/>
    <x:tableColumn id="9" name="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RegisterTable" displayName="SourceRegisterTable" ref="A1:D18" totalsRowShown="0">
  <x:tableColumns count="4">
    <x:tableColumn id="1" name="Ref"/>
    <x:tableColumn id="2" name="Source"/>
    <x:tableColumn id="3" name="Use"/>
    <x:tableColumn id="4" name="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mplianceMatrixTable" displayName="ComplianceMatrixTable" ref="A1:G8" totalsRowShown="0">
  <x:tableColumns count="7">
    <x:tableColumn id="1" name="Requirement / control"/>
    <x:tableColumn id="2" name="Supplier"/>
    <x:tableColumn id="3" name="FreshRoute"/>
    <x:tableColumn id="4" name="3PL / carrier"/>
    <x:tableColumn id="5" name="SME recipient"/>
    <x:tableColumn id="6" name="Evidence / control"/>
    <x:tableColumn id="7" name="Primary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thodAuditTable" displayName="MethodAuditTable" ref="A1:G7" totalsRowShown="0">
  <x:tableColumns count="7">
    <x:tableColumn id="1" name="Source / database"/>
    <x:tableColumn id="2" name="Search / extraction date"/>
    <x:tableColumn id="3" name="Query / extraction route"/>
    <x:tableColumn id="4" name="Evidence type"/>
    <x:tableColumn id="5" name="Included for"/>
    <x:tableColumn id="6" name="Quality control"/>
    <x:tableColumn id="7" name="Detailed lo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59b4a2386e4c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5504e8b138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d33df443a8a45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4a75567a1e2249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2563e06ec39e4e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cd76b445866c4d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47443cb93a3f43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361a1df176bd46c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5922c331931f4f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b958ad791e94429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8dde270c010543a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cd4ac85a4743480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2.xml" Id="Rc46ab6dbcaea411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3.xml" Id="Raee82f6fe4034833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60" customWidth="1"/>
    <x:col min="3" max="3" width="4" customWidth="1"/>
    <x:col min="4" max="4" width="30" customWidth="1"/>
    <x:col min="5" max="5" width="24" customWidth="1"/>
    <x:col min="6" max="6" width="4" customWidth="1"/>
    <x:col min="7" max="7" width="30" customWidth="1"/>
    <x:col min="8" max="8" width="24" customWidth="1"/>
  </x:cols>
  <x:sheetData>
    <x:row r="1" ht="37.25" customHeight="1">
      <x:c r="A1" s="69" t="s">
        <x:v>0</x:v>
      </x:c>
      <x:c r="B1" s="69"/>
      <x:c r="C1" s="69"/>
      <x:c r="D1" s="69"/>
      <x:c r="E1" s="69"/>
      <x:c r="F1" s="69"/>
      <x:c r="G1" s="70" t="s">
        <x:v>1</x:v>
      </x:c>
      <x:c r="H1" s="70"/>
      <x:c r="I1" s="44"/>
      <x:c r="J1" s="4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9.25" customHeight="1">
      <x:c r="A2" s="71" t="s">
        <x:v>2</x:v>
      </x:c>
      <x:c r="B2" s="71"/>
      <x:c r="C2" s="71"/>
      <x:c r="D2" s="71"/>
      <x:c r="E2" s="71"/>
      <x:c r="F2" s="71"/>
      <x:c r="G2" s="71"/>
      <x:c r="H2" s="71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/>
      <x:c r="B3" s="15"/>
      <x:c r="C3" s="15"/>
      <x:c r="D3" s="15"/>
      <x:c r="E3" s="15"/>
      <x:c r="F3" s="15"/>
      <x:c r="G3" s="50" t="s">
        <x:v>3</x:v>
      </x:c>
      <x:c r="H3" s="50" t="s">
        <x:v>4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6">
      <x:c r="A4" s="16" t="s">
        <x:v>5</x:v>
      </x:c>
      <x:c r="B4" s="16" t="s">
        <x:v>6</x:v>
      </x:c>
      <x:c r="C4" s="15"/>
      <x:c r="D4" s="16" t="s">
        <x:v>7</x:v>
      </x:c>
      <x:c r="E4" s="16" t="s">
        <x:v>8</x:v>
      </x:c>
      <x:c r="F4" s="15"/>
      <x:c r="G4" s="54" t="s">
        <x:v>9</x:v>
      </x:c>
      <x:c r="H4" s="46" t="n">
        <x:f>'Route Feasibility'!O3</x:f>
        <x:v>6.35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32">
      <x:c r="A5" s="17" t="s">
        <x:v>10</x:v>
      </x:c>
      <x:c r="B5" s="37" t="n">
        <x:v>3015</x:v>
      </x:c>
      <x:c r="C5" s="15"/>
      <x:c r="D5" s="17" t="s">
        <x:v>11</x:v>
      </x:c>
      <x:c r="E5" s="15" t="n">
        <x:f>'Unit Economics'!B5</x:f>
        <x:v>21</x:v>
      </x:c>
      <x:c r="F5" s="15"/>
      <x:c r="G5" s="54" t="s">
        <x:v>12</x:v>
      </x:c>
      <x:c r="H5" s="15" t="str">
        <x:f>'Route Feasibility'!P3</x:f>
        <x:v>YES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16">
      <x:c r="A6" s="17" t="s">
        <x:v>13</x:v>
      </x:c>
      <x:c r="B6" s="37">
        <x:v>9825</x:v>
      </x:c>
      <x:c r="C6" s="15"/>
      <x:c r="D6" s="17" t="s">
        <x:v>14</x:v>
      </x:c>
      <x:c r="E6" s="26" t="n">
        <x:f>ROUND('Unit Economics'!B23,2)</x:f>
        <x:v>5285</x:v>
      </x:c>
      <x:c r="F6" s="15"/>
      <x:c r="G6" s="54" t="s">
        <x:v>15</x:v>
      </x:c>
      <x:c r="H6" s="36">
        <x:v>21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7" t="s">
        <x:v>16</x:v>
      </x:c>
      <x:c r="B7" s="19">
        <x:v>0.88700000000000001</x:v>
      </x:c>
      <x:c r="C7" s="15"/>
      <x:c r="D7" s="17" t="s">
        <x:v>17</x:v>
      </x:c>
      <x:c r="E7" s="26" t="n">
        <x:f>ROUND('Unit Economics'!B25,2)</x:f>
        <x:v>3575</x:v>
      </x:c>
      <x:c r="F7" s="15"/>
      <x:c r="G7" s="54" t="s">
        <x:v>18</x:v>
      </x:c>
      <x:c r="H7" s="26" t="n">
        <x:f>ROUND('3PL Cost Envelope'!B12,2)</x:f>
        <x:v>279.28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32">
      <x:c r="A8" s="17" t="s">
        <x:v>19</x:v>
      </x:c>
      <x:c r="B8" s="15">
        <x:v>10.7</x:v>
      </x:c>
      <x:c r="C8" s="15"/>
      <x:c r="D8" s="17" t="s">
        <x:v>20</x:v>
      </x:c>
      <x:c r="E8" s="26" t="n">
        <x:f>ROUND('Unit Economics'!B26,2)</x:f>
        <x:v>1108.38</x:v>
      </x:c>
      <x:c r="F8" s="15"/>
      <x:c r="G8" s="54" t="s">
        <x:v>21</x:v>
      </x:c>
      <x:c r="H8" s="26" t="n">
        <x:f>'3PL Cost Envelope'!F4</x:f>
        <x:v>29.76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6">
      <x:c r="A9" s="17" t="s">
        <x:v>22</x:v>
      </x:c>
      <x:c r="B9" s="15">
        <x:v>1.1000000000000001</x:v>
      </x:c>
      <x:c r="C9" s="15"/>
      <x:c r="D9" s="17" t="s">
        <x:v>23</x:v>
      </x:c>
      <x:c r="E9" s="26" t="n">
        <x:f>ROUND('Unit Economics'!B27,2)</x:f>
        <x:v>55.62</x:v>
      </x:c>
      <x:c r="F9" s="15"/>
      <x:c r="G9" s="54" t="s">
        <x:v>24</x:v>
      </x:c>
      <x:c r="H9" s="26" t="n">
        <x:f>ROUND(Forecast!Y2,2)</x:f>
        <x:v>-9673.42</x:v>
      </x:c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7" t="s">
        <x:v>25</x:v>
      </x:c>
      <x:c r="B10" s="20">
        <x:v>8</x:v>
      </x:c>
      <x:c r="C10" s="15"/>
      <x:c r="D10" s="17" t="s">
        <x:v>26</x:v>
      </x:c>
      <x:c r="E10" s="19" t="n">
        <x:f>'Unit Economics'!B28</x:f>
        <x:v>0.01052380952380961</x:v>
      </x:c>
      <x:c r="F10" s="15"/>
      <x:c r="G10" s="54" t="s">
        <x:v>27</x:v>
      </x:c>
      <x:c r="H10" s="26" t="n">
        <x:f>ROUND(Forecast!B22,2)</x:f>
        <x:v>16874.43</x:v>
      </x:c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16">
      <x:c r="A11" s="15"/>
      <x:c r="B11" s="15"/>
      <x:c r="C11" s="15"/>
      <x:c r="D11" s="17" t="s">
        <x:v>28</x:v>
      </x:c>
      <x:c r="E11" s="36" t="n">
        <x:f>'Unit Economics'!B29</x:f>
        <x:v>21</x:v>
      </x:c>
      <x:c r="F11" s="15"/>
      <x:c r="G11" s="15"/>
      <x:c r="H11" s="15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16">
      <x:c r="A13" s="21" t="s">
        <x:v>29</x:v>
      </x:c>
      <x:c r="B13" s="21" t="s">
        <x:v>30</x:v>
      </x:c>
      <x:c r="C13" s="15"/>
      <x:c r="D13" s="21" t="s">
        <x:v>31</x:v>
      </x:c>
      <x:c r="E13" s="21" t="s">
        <x:v>32</x:v>
      </x:c>
      <x:c r="F13" s="15"/>
      <x:c r="G13" s="15"/>
      <x:c r="H13" s="15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48">
      <x:c r="A14" s="17" t="s">
        <x:v>33</x:v>
      </x:c>
      <x:c r="B14" s="15" t="s">
        <x:v>34</x:v>
      </x:c>
      <x:c r="C14" s="15"/>
      <x:c r="D14" s="17" t="s">
        <x:v>35</x:v>
      </x:c>
      <x:c r="E14" s="20">
        <x:v>5</x:v>
      </x:c>
      <x:c r="F14" s="15"/>
      <x:c r="G14" s="15"/>
      <x:c r="H14" s="15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32">
      <x:c r="A15" s="17" t="s">
        <x:v>36</x:v>
      </x:c>
      <x:c r="B15" s="15" t="s">
        <x:v>37</x:v>
      </x:c>
      <x:c r="C15" s="15"/>
      <x:c r="D15" s="17" t="s">
        <x:v>38</x:v>
      </x:c>
      <x:c r="E15" s="26" t="n">
        <x:f>Assumptions!C16</x:f>
        <x:v>275</x:v>
      </x:c>
      <x:c r="F15" s="15"/>
      <x:c r="G15" s="15"/>
      <x:c r="H15" s="15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32">
      <x:c r="A16" s="17" t="s">
        <x:v>39</x:v>
      </x:c>
      <x:c r="B16" s="15" t="s">
        <x:v>40</x:v>
      </x:c>
      <x:c r="C16" s="15"/>
      <x:c r="D16" s="17" t="s">
        <x:v>41</x:v>
      </x:c>
      <x:c r="E16" s="26" t="n">
        <x:f>'Unit Economics'!B17</x:f>
        <x:v>182</x:v>
      </x:c>
      <x:c r="F16" s="15"/>
      <x:c r="G16" s="15"/>
      <x:c r="H16" s="15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 ht="32">
      <x:c r="A17" s="17" t="s">
        <x:v>42</x:v>
      </x:c>
      <x:c r="B17" s="15" t="s">
        <x:v>43</x:v>
      </x:c>
      <x:c r="C17" s="15"/>
      <x:c r="D17" s="17" t="s">
        <x:v>44</x:v>
      </x:c>
      <x:c r="E17" s="26" t="n">
        <x:f>ROUND('Unit Economics'!B31,2)</x:f>
        <x:v>225.67</x:v>
      </x:c>
      <x:c r="F17" s="15"/>
      <x:c r="G17" s="15"/>
      <x:c r="H17" s="15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48">
      <x:c r="A18" s="17" t="s">
        <x:v>45</x:v>
      </x:c>
      <x:c r="B18" s="15" t="s">
        <x:v>46</x:v>
      </x:c>
      <x:c r="C18" s="15"/>
      <x:c r="D18" s="17" t="s">
        <x:v>47</x:v>
      </x:c>
      <x:c r="E18" s="15" t="s">
        <x:v>48</x:v>
      </x:c>
      <x:c r="F18" s="15"/>
      <x:c r="G18" s="15"/>
      <x:c r="H18" s="15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 ht="32">
      <x:c r="A19" s="17" t="s">
        <x:v>49</x:v>
      </x:c>
      <x:c r="B19" s="15" t="s">
        <x:v>50</x:v>
      </x:c>
      <x:c r="C19" s="15"/>
      <x:c r="D19" s="15"/>
      <x:c r="E19" s="15"/>
      <x:c r="F19" s="15"/>
      <x:c r="G19" s="15"/>
      <x:c r="H19" s="15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b59b4a2386e4cee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9" customWidth="1"/>
    <x:col min="2" max="2" width="18" customWidth="1"/>
    <x:col min="3" max="3" width="42" customWidth="1"/>
    <x:col min="4" max="4" width="18" customWidth="1"/>
    <x:col min="5" max="5" width="24" customWidth="1"/>
    <x:col min="6" max="6" width="25" customWidth="1"/>
    <x:col min="7" max="7" width="24" customWidth="1"/>
    <x:col min="8" max="8" width="42" customWidth="1"/>
    <x:col min="9" max="9" width="48" customWidth="1"/>
    <x:col min="10" max="10" width="70" customWidth="1"/>
  </x:cols>
  <x:sheetData>
    <x:row r="1" ht="16">
      <x:c r="A1" s="21" t="s">
        <x:v>51</x:v>
      </x:c>
      <x:c r="B1" s="21" t="s">
        <x:v>52</x:v>
      </x:c>
      <x:c r="C1" s="21" t="s">
        <x:v>53</x:v>
      </x:c>
      <x:c r="D1" s="21" t="s">
        <x:v>32</x:v>
      </x:c>
      <x:c r="E1" s="21" t="s">
        <x:v>54</x:v>
      </x:c>
      <x:c r="F1" s="21" t="s">
        <x:v>55</x:v>
      </x:c>
      <x:c r="G1" s="21" t="s">
        <x:v>56</x:v>
      </x:c>
      <x:c r="H1" s="21" t="s">
        <x:v>57</x:v>
      </x:c>
      <x:c r="I1" s="21" t="s">
        <x:v>58</x:v>
      </x:c>
      <x:c r="J1" s="21" t="s">
        <x:v>59</x:v>
      </x:c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2">
      <x:c r="A2" s="15" t="s">
        <x:v>60</x:v>
      </x:c>
      <x:c r="B2" s="15" t="s">
        <x:v>61</x:v>
      </x:c>
      <x:c r="C2" s="15" t="s">
        <x:v>62</x:v>
      </x:c>
      <x:c r="D2" s="15" t="n">
        <x:v>3015</x:v>
      </x:c>
      <x:c r="E2" s="15" t="s">
        <x:v>63</x:v>
      </x:c>
      <x:c r="F2" s="15" t="str">
        <x:v>Coventry; 17 Sep 2026</x:v>
      </x:c>
      <x:c r="G2" s="15" t="s">
        <x:v>64</x:v>
      </x:c>
      <x:c r="H2" s="15" t="s">
        <x:v>65</x:v>
      </x:c>
      <x:c r="I2" s="15" t="s">
        <x:v>66</x:v>
      </x:c>
      <x:c r="J2" s="15" t="s">
        <x:v>67</x:v>
      </x:c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68</x:v>
      </x:c>
      <x:c r="B3" s="15" t="s">
        <x:v>61</x:v>
      </x:c>
      <x:c r="C3" s="15" t="s">
        <x:v>69</x:v>
      </x:c>
      <x:c r="D3" s="15">
        <x:v>9825</x:v>
      </x:c>
      <x:c r="E3" s="15" t="s">
        <x:v>70</x:v>
      </x:c>
      <x:c r="F3" s="15" t="s">
        <x:v>71</x:v>
      </x:c>
      <x:c r="G3" s="15" t="s">
        <x:v>72</x:v>
      </x:c>
      <x:c r="H3" s="15" t="s">
        <x:v>73</x:v>
      </x:c>
      <x:c r="I3" s="15" t="s">
        <x:v>74</x:v>
      </x:c>
      <x:c r="J3" s="15" t="s">
        <x:v>75</x:v>
      </x:c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6">
      <x:c r="A4" s="15" t="s">
        <x:v>76</x:v>
      </x:c>
      <x:c r="B4" s="15" t="s">
        <x:v>61</x:v>
      </x:c>
      <x:c r="C4" s="15" t="s">
        <x:v>77</x:v>
      </x:c>
      <x:c r="D4" s="15">
        <x:v>8710</x:v>
      </x:c>
      <x:c r="E4" s="15" t="s">
        <x:v>70</x:v>
      </x:c>
      <x:c r="F4" s="15" t="s">
        <x:v>71</x:v>
      </x:c>
      <x:c r="G4" s="15" t="s">
        <x:v>72</x:v>
      </x:c>
      <x:c r="H4" s="15" t="s">
        <x:v>78</x:v>
      </x:c>
      <x:c r="I4" s="15" t="s">
        <x:v>74</x:v>
      </x:c>
      <x:c r="J4" s="15" t="s">
        <x:v>75</x:v>
      </x:c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79</x:v>
      </x:c>
      <x:c r="B5" s="15" t="s">
        <x:v>61</x:v>
      </x:c>
      <x:c r="C5" s="15" t="s">
        <x:v>80</x:v>
      </x:c>
      <x:c r="D5" s="19">
        <x:v>0.88700000000000001</x:v>
      </x:c>
      <x:c r="E5" s="15" t="s">
        <x:v>81</x:v>
      </x:c>
      <x:c r="F5" s="15" t="s">
        <x:v>71</x:v>
      </x:c>
      <x:c r="G5" s="15" t="s">
        <x:v>72</x:v>
      </x:c>
      <x:c r="H5" s="15" t="s">
        <x:v>82</x:v>
      </x:c>
      <x:c r="I5" s="15" t="s">
        <x:v>83</x:v>
      </x:c>
      <x:c r="J5" s="15" t="s">
        <x:v>75</x:v>
      </x:c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84</x:v>
      </x:c>
      <x:c r="B6" s="15" t="s">
        <x:v>85</x:v>
      </x:c>
      <x:c r="C6" s="15" t="s">
        <x:v>86</x:v>
      </x:c>
      <x:c r="D6" s="15">
        <x:v>10.7</x:v>
      </x:c>
      <x:c r="E6" s="15" t="s">
        <x:v>87</x:v>
      </x:c>
      <x:c r="F6" s="15" t="s">
        <x:v>88</x:v>
      </x:c>
      <x:c r="G6" s="15" t="s">
        <x:v>89</x:v>
      </x:c>
      <x:c r="H6" s="15" t="s">
        <x:v>90</x:v>
      </x:c>
      <x:c r="I6" s="15" t="s">
        <x:v>91</x:v>
      </x:c>
      <x:c r="J6" s="15" t="s">
        <x:v>92</x:v>
      </x:c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93</x:v>
      </x:c>
      <x:c r="B7" s="15" t="s">
        <x:v>85</x:v>
      </x:c>
      <x:c r="C7" s="15" t="s">
        <x:v>94</x:v>
      </x:c>
      <x:c r="D7" s="15">
        <x:v>1.1000000000000001</x:v>
      </x:c>
      <x:c r="E7" s="15" t="s">
        <x:v>87</x:v>
      </x:c>
      <x:c r="F7" s="15" t="s">
        <x:v>88</x:v>
      </x:c>
      <x:c r="G7" s="15" t="s">
        <x:v>89</x:v>
      </x:c>
      <x:c r="H7" s="15" t="s">
        <x:v>95</x:v>
      </x:c>
      <x:c r="I7" s="15" t="s">
        <x:v>96</x:v>
      </x:c>
      <x:c r="J7" s="15" t="s">
        <x:v>92</x:v>
      </x:c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32">
      <x:c r="A8" s="15" t="s">
        <x:v>97</x:v>
      </x:c>
      <x:c r="B8" s="15" t="s">
        <x:v>85</x:v>
      </x:c>
      <x:c r="C8" s="15" t="s">
        <x:v>98</x:v>
      </x:c>
      <x:c r="D8" s="15">
        <x:v>0.2</x:v>
      </x:c>
      <x:c r="E8" s="15" t="s">
        <x:v>87</x:v>
      </x:c>
      <x:c r="F8" s="15" t="s">
        <x:v>88</x:v>
      </x:c>
      <x:c r="G8" s="15" t="s">
        <x:v>89</x:v>
      </x:c>
      <x:c r="H8" s="15" t="s">
        <x:v>99</x:v>
      </x:c>
      <x:c r="I8" s="15" t="s">
        <x:v>100</x:v>
      </x:c>
      <x:c r="J8" s="15" t="s">
        <x:v>92</x:v>
      </x:c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6">
      <x:c r="A9" s="15" t="s">
        <x:v>101</x:v>
      </x:c>
      <x:c r="B9" s="15" t="s">
        <x:v>85</x:v>
      </x:c>
      <x:c r="C9" s="15" t="s">
        <x:v>102</x:v>
      </x:c>
      <x:c r="D9" s="15">
        <x:v>3200000000</x:v>
      </x:c>
      <x:c r="E9" s="15" t="s">
        <x:v>103</x:v>
      </x:c>
      <x:c r="F9" s="15" t="s">
        <x:v>104</x:v>
      </x:c>
      <x:c r="G9" s="15" t="s">
        <x:v>105</x:v>
      </x:c>
      <x:c r="H9" s="15" t="s">
        <x:v>106</x:v>
      </x:c>
      <x:c r="I9" s="15" t="s">
        <x:v>107</x:v>
      </x:c>
      <x:c r="J9" s="15" t="s">
        <x:v>108</x:v>
      </x:c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5" t="s">
        <x:v>109</x:v>
      </x:c>
      <x:c r="B10" s="15" t="s">
        <x:v>85</x:v>
      </x:c>
      <x:c r="C10" s="15" t="s">
        <x:v>110</x:v>
      </x:c>
      <x:c r="D10" s="15">
        <x:v>10000</x:v>
      </x:c>
      <x:c r="E10" s="15" t="s">
        <x:v>111</x:v>
      </x:c>
      <x:c r="F10" s="15" t="s">
        <x:v>112</x:v>
      </x:c>
      <x:c r="G10" s="15" t="s">
        <x:v>105</x:v>
      </x:c>
      <x:c r="H10" s="15" t="s">
        <x:v>113</x:v>
      </x:c>
      <x:c r="I10" s="15" t="s">
        <x:v>114</x:v>
      </x:c>
      <x:c r="J10" s="15" t="s">
        <x:v>108</x:v>
      </x:c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32">
      <x:c r="A11" s="15" t="s">
        <x:v>115</x:v>
      </x:c>
      <x:c r="B11" s="15" t="s">
        <x:v>85</x:v>
      </x:c>
      <x:c r="C11" s="15" t="s">
        <x:v>116</x:v>
      </x:c>
      <x:c r="D11" s="19">
        <x:v>0.75</x:v>
      </x:c>
      <x:c r="E11" s="15" t="s">
        <x:v>81</x:v>
      </x:c>
      <x:c r="F11" s="15" t="s">
        <x:v>117</x:v>
      </x:c>
      <x:c r="G11" s="15" t="s">
        <x:v>105</x:v>
      </x:c>
      <x:c r="H11" s="15" t="s">
        <x:v>118</x:v>
      </x:c>
      <x:c r="I11" s="15" t="s">
        <x:v>119</x:v>
      </x:c>
      <x:c r="J11" s="15" t="s">
        <x:v>120</x:v>
      </x:c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32">
      <x:c r="A12" s="15" t="s">
        <x:v>121</x:v>
      </x:c>
      <x:c r="B12" s="15" t="s">
        <x:v>85</x:v>
      </x:c>
      <x:c r="C12" s="15" t="s">
        <x:v>122</x:v>
      </x:c>
      <x:c r="D12" s="15">
        <x:v>4</x:v>
      </x:c>
      <x:c r="E12" s="15" t="s">
        <x:v>123</x:v>
      </x:c>
      <x:c r="F12" s="15" t="s">
        <x:v>124</x:v>
      </x:c>
      <x:c r="G12" s="15" t="s">
        <x:v>105</x:v>
      </x:c>
      <x:c r="H12" s="15" t="s">
        <x:v>125</x:v>
      </x:c>
      <x:c r="I12" s="15" t="s">
        <x:v>126</x:v>
      </x:c>
      <x:c r="J12" s="15" t="s">
        <x:v>127</x:v>
      </x:c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32">
      <x:c r="A13" s="15" t="s">
        <x:v>128</x:v>
      </x:c>
      <x:c r="B13" s="15" t="s">
        <x:v>129</x:v>
      </x:c>
      <x:c r="C13" s="15" t="s">
        <x:v>130</x:v>
      </x:c>
      <x:c r="D13" s="15">
        <x:v>8</x:v>
      </x:c>
      <x:c r="E13" s="15" t="s">
        <x:v>131</x:v>
      </x:c>
      <x:c r="F13" s="15" t="s">
        <x:v>132</x:v>
      </x:c>
      <x:c r="G13" s="15" t="s">
        <x:v>133</x:v>
      </x:c>
      <x:c r="H13" s="15" t="s">
        <x:v>134</x:v>
      </x:c>
      <x:c r="I13" s="15" t="s">
        <x:v>135</x:v>
      </x:c>
      <x:c r="J13" s="15" t="s">
        <x:v>136</x:v>
      </x:c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32">
      <x:c r="A14" s="15" t="s">
        <x:v>137</x:v>
      </x:c>
      <x:c r="B14" s="15" t="s">
        <x:v>129</x:v>
      </x:c>
      <x:c r="C14" s="15" t="s">
        <x:v>138</x:v>
      </x:c>
      <x:c r="D14" s="15">
        <x:v>5</x:v>
      </x:c>
      <x:c r="E14" s="15" t="s">
        <x:v>131</x:v>
      </x:c>
      <x:c r="F14" s="15" t="s">
        <x:v>132</x:v>
      </x:c>
      <x:c r="G14" s="15" t="s">
        <x:v>133</x:v>
      </x:c>
      <x:c r="H14" s="15" t="s">
        <x:v>139</x:v>
      </x:c>
      <x:c r="I14" s="15" t="s">
        <x:v>140</x:v>
      </x:c>
      <x:c r="J14" s="15" t="s">
        <x:v>136</x:v>
      </x:c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32">
      <x:c r="A15" s="15" t="s">
        <x:v>141</x:v>
      </x:c>
      <x:c r="B15" s="15" t="s">
        <x:v>142</x:v>
      </x:c>
      <x:c r="C15" s="15" t="s">
        <x:v>143</x:v>
      </x:c>
      <x:c r="D15" s="15">
        <x:v>12.71</x:v>
      </x:c>
      <x:c r="E15" s="15" t="s">
        <x:v>144</x:v>
      </x:c>
      <x:c r="F15" s="15" t="s">
        <x:v>145</x:v>
      </x:c>
      <x:c r="G15" s="15" t="s">
        <x:v>146</x:v>
      </x:c>
      <x:c r="H15" s="15" t="s">
        <x:v>147</x:v>
      </x:c>
      <x:c r="I15" s="15" t="s">
        <x:v>148</x:v>
      </x:c>
      <x:c r="J15" s="15" t="s">
        <x:v>149</x:v>
      </x:c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32">
      <x:c r="A16" s="15" t="s">
        <x:v>150</x:v>
      </x:c>
      <x:c r="B16" s="15" t="s">
        <x:v>142</x:v>
      </x:c>
      <x:c r="C16" s="15" t="s">
        <x:v>151</x:v>
      </x:c>
      <x:c r="D16" s="19">
        <x:v>0.15</x:v>
      </x:c>
      <x:c r="E16" s="15" t="s">
        <x:v>81</x:v>
      </x:c>
      <x:c r="F16" s="15" t="s">
        <x:v>152</x:v>
      </x:c>
      <x:c r="G16" s="15" t="s">
        <x:v>146</x:v>
      </x:c>
      <x:c r="H16" s="15" t="s">
        <x:v>153</x:v>
      </x:c>
      <x:c r="I16" s="15" t="s">
        <x:v>154</x:v>
      </x:c>
      <x:c r="J16" s="15" t="s">
        <x:v>155</x:v>
      </x:c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 ht="32">
      <x:c r="A17" s="15" t="s">
        <x:v>156</x:v>
      </x:c>
      <x:c r="B17" s="15" t="s">
        <x:v>157</x:v>
      </x:c>
      <x:c r="C17" s="15" t="s">
        <x:v>158</x:v>
      </x:c>
      <x:c r="D17" s="15">
        <x:v>70</x:v>
      </x:c>
      <x:c r="E17" s="15" t="s">
        <x:v>159</x:v>
      </x:c>
      <x:c r="F17" s="15" t="s">
        <x:v>160</x:v>
      </x:c>
      <x:c r="G17" s="15" t="s">
        <x:v>161</x:v>
      </x:c>
      <x:c r="H17" s="15" t="s">
        <x:v>162</x:v>
      </x:c>
      <x:c r="I17" s="15" t="s">
        <x:v>163</x:v>
      </x:c>
      <x:c r="J17" s="15" t="s">
        <x:v>164</x:v>
      </x:c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32">
      <x:c r="A18" s="15" t="s">
        <x:v>165</x:v>
      </x:c>
      <x:c r="B18" s="15" t="s">
        <x:v>157</x:v>
      </x:c>
      <x:c r="C18" s="15" t="s">
        <x:v>166</x:v>
      </x:c>
      <x:c r="D18" s="15">
        <x:v>1.8635999999999999</x:v>
      </x:c>
      <x:c r="E18" s="15" t="s">
        <x:v>167</x:v>
      </x:c>
      <x:c r="F18" s="15" t="s">
        <x:v>168</x:v>
      </x:c>
      <x:c r="G18" s="15" t="s">
        <x:v>169</x:v>
      </x:c>
      <x:c r="H18" s="15" t="s">
        <x:v>170</x:v>
      </x:c>
      <x:c r="I18" s="15" t="s">
        <x:v>171</x:v>
      </x:c>
      <x:c r="J18" s="15" t="s">
        <x:v>172</x:v>
      </x:c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 ht="32">
      <x:c r="A19" s="15" t="s">
        <x:v>173</x:v>
      </x:c>
      <x:c r="B19" s="15" t="s">
        <x:v>174</x:v>
      </x:c>
      <x:c r="C19" s="15" t="s">
        <x:v>175</x:v>
      </x:c>
      <x:c r="D19" s="15">
        <x:v>100</x:v>
      </x:c>
      <x:c r="E19" s="15" t="s">
        <x:v>176</x:v>
      </x:c>
      <x:c r="F19" s="15" t="s">
        <x:v>177</x:v>
      </x:c>
      <x:c r="G19" s="15" t="s">
        <x:v>178</x:v>
      </x:c>
      <x:c r="H19" s="15" t="s">
        <x:v>179</x:v>
      </x:c>
      <x:c r="I19" s="15" t="s">
        <x:v>180</x:v>
      </x:c>
      <x:c r="J19" s="15" t="s">
        <x:v>181</x:v>
      </x:c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 ht="16">
      <x:c r="A20" s="15" t="s">
        <x:v>182</x:v>
      </x:c>
      <x:c r="B20" s="15" t="s">
        <x:v>174</x:v>
      </x:c>
      <x:c r="C20" s="15" t="s">
        <x:v>183</x:v>
      </x:c>
      <x:c r="D20" s="15">
        <x:v>175</x:v>
      </x:c>
      <x:c r="E20" s="15" t="s">
        <x:v>176</x:v>
      </x:c>
      <x:c r="F20" s="15" t="s">
        <x:v>184</x:v>
      </x:c>
      <x:c r="G20" s="15" t="s">
        <x:v>178</x:v>
      </x:c>
      <x:c r="H20" s="15" t="s">
        <x:v>185</x:v>
      </x:c>
      <x:c r="I20" s="15" t="s">
        <x:v>186</x:v>
      </x:c>
      <x:c r="J20" s="15" t="s">
        <x:v>187</x:v>
      </x:c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 ht="16">
      <x:c r="A21" s="15" t="s">
        <x:v>188</x:v>
      </x:c>
      <x:c r="B21" s="15" t="s">
        <x:v>174</x:v>
      </x:c>
      <x:c r="C21" s="15" t="s">
        <x:v>189</x:v>
      </x:c>
      <x:c r="D21" s="15">
        <x:v>10000</x:v>
      </x:c>
      <x:c r="E21" s="15" t="s">
        <x:v>190</x:v>
      </x:c>
      <x:c r="F21" s="15" t="s">
        <x:v>177</x:v>
      </x:c>
      <x:c r="G21" s="15" t="s">
        <x:v>178</x:v>
      </x:c>
      <x:c r="H21" s="15" t="s">
        <x:v>191</x:v>
      </x:c>
      <x:c r="I21" s="15" t="s">
        <x:v>192</x:v>
      </x:c>
      <x:c r="J21" s="15" t="s">
        <x:v>193</x:v>
      </x:c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 ht="32">
      <x:c r="A22" s="15" t="s">
        <x:v>194</x:v>
      </x:c>
      <x:c r="B22" s="15" t="s">
        <x:v>174</x:v>
      </x:c>
      <x:c r="C22" s="15" t="s">
        <x:v>195</x:v>
      </x:c>
      <x:c r="D22" s="15">
        <x:v>45000</x:v>
      </x:c>
      <x:c r="E22" s="15" t="s">
        <x:v>196</x:v>
      </x:c>
      <x:c r="F22" s="15" t="s">
        <x:v>177</x:v>
      </x:c>
      <x:c r="G22" s="15" t="s">
        <x:v>178</x:v>
      </x:c>
      <x:c r="H22" s="15" t="s">
        <x:v>191</x:v>
      </x:c>
      <x:c r="I22" s="15" t="s">
        <x:v>192</x:v>
      </x:c>
      <x:c r="J22" s="15" t="s">
        <x:v>193</x:v>
      </x:c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 ht="48">
      <x:c r="A23" s="15" t="s">
        <x:v>197</x:v>
      </x:c>
      <x:c r="B23" s="15" t="s">
        <x:v>198</x:v>
      </x:c>
      <x:c r="C23" s="15" t="s">
        <x:v>199</x:v>
      </x:c>
      <x:c r="D23" s="15">
        <x:v>191.4</x:v>
      </x:c>
      <x:c r="E23" s="15" t="s">
        <x:v>200</x:v>
      </x:c>
      <x:c r="F23" s="15" t="s">
        <x:v>201</x:v>
      </x:c>
      <x:c r="G23" s="15" t="s">
        <x:v>161</x:v>
      </x:c>
      <x:c r="H23" s="15" t="s">
        <x:v>202</x:v>
      </x:c>
      <x:c r="I23" s="15" t="s">
        <x:v>203</x:v>
      </x:c>
      <x:c r="J23" s="15" t="s">
        <x:v>204</x:v>
      </x:c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2e5504e8b138482f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6" customWidth="1"/>
    <x:col min="2" max="2" width="20" customWidth="1"/>
    <x:col min="3" max="3" width="22" customWidth="1"/>
    <x:col min="4" max="4" width="58" customWidth="1"/>
  </x:cols>
  <x:sheetData>
    <x:row r="1" ht="18">
      <x:c r="A1" s="72" t="s">
        <x:v>205</x:v>
      </x:c>
      <x:c r="B1" s="72"/>
      <x:c r="C1" s="72"/>
      <x:c r="D1" s="72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/>
      <x:c r="B2" s="15"/>
      <x:c r="C2" s="15"/>
      <x:c r="D2" s="15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6" t="s">
        <x:v>206</x:v>
      </x:c>
      <x:c r="B3" s="16" t="s">
        <x:v>32</x:v>
      </x:c>
      <x:c r="C3" s="16" t="s">
        <x:v>54</x:v>
      </x:c>
      <x:c r="D3" s="16" t="s">
        <x:v>207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6">
      <x:c r="A4" s="15" t="s">
        <x:v>208</x:v>
      </x:c>
      <x:c r="B4" s="22">
        <x:v>70</x:v>
      </x:c>
      <x:c r="C4" s="15" t="s">
        <x:v>209</x:v>
      </x:c>
      <x:c r="D4" s="15" t="s">
        <x:v>210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211</x:v>
      </x:c>
      <x:c r="B5" s="23">
        <x:v>7.5</x:v>
      </x:c>
      <x:c r="C5" s="15" t="s">
        <x:v>212</x:v>
      </x:c>
      <x:c r="D5" s="15" t="s">
        <x:v>213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16">
      <x:c r="A6" s="15" t="s">
        <x:v>214</x:v>
      </x:c>
      <x:c r="B6" s="22">
        <x:v>12.71</x:v>
      </x:c>
      <x:c r="C6" s="15" t="s">
        <x:v>144</x:v>
      </x:c>
      <x:c r="D6" s="15" t="s">
        <x:v>215</x:v>
      </x:c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16">
      <x:c r="A7" s="15" t="s">
        <x:v>216</x:v>
      </x:c>
      <x:c r="B7" s="24">
        <x:v>0.15</x:v>
      </x:c>
      <x:c r="C7" s="15" t="s">
        <x:v>81</x:v>
      </x:c>
      <x:c r="D7" s="15" t="s">
        <x:v>217</x:v>
      </x:c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6">
      <x:c r="A8" s="15" t="s">
        <x:v>218</x:v>
      </x:c>
      <x:c r="B8" s="23">
        <x:v>80</x:v>
      </x:c>
      <x:c r="C8" s="15" t="s">
        <x:v>219</x:v>
      </x:c>
      <x:c r="D8" s="15" t="s">
        <x:v>213</x:v>
      </x:c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6">
      <x:c r="A9" s="15" t="s">
        <x:v>220</x:v>
      </x:c>
      <x:c r="B9" s="23">
        <x:v>28</x:v>
      </x:c>
      <x:c r="C9" s="15" t="s">
        <x:v>221</x:v>
      </x:c>
      <x:c r="D9" s="15" t="s">
        <x:v>213</x:v>
      </x:c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5" t="s">
        <x:v>222</x:v>
      </x:c>
      <x:c r="B10" s="22">
        <x:v>1.8635999999999999</x:v>
      </x:c>
      <x:c r="C10" s="15" t="s">
        <x:v>167</x:v>
      </x:c>
      <x:c r="D10" s="15" t="s">
        <x:v>223</x:v>
      </x:c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16">
      <x:c r="A11" s="15" t="s">
        <x:v>224</x:v>
      </x:c>
      <x:c r="B11" s="22">
        <x:v>20</x:v>
      </x:c>
      <x:c r="C11" s="15" t="s">
        <x:v>225</x:v>
      </x:c>
      <x:c r="D11" s="15" t="s">
        <x:v>226</x:v>
      </x:c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16">
      <x:c r="A12" s="15" t="s">
        <x:v>227</x:v>
      </x:c>
      <x:c r="B12" s="22"/>
      <x:c r="C12" s="15" t="s">
        <x:v>228</x:v>
      </x:c>
      <x:c r="D12" s="15" t="s">
        <x:v>229</x:v>
      </x:c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16">
      <x:c r="A13" s="15" t="s">
        <x:v>230</x:v>
      </x:c>
      <x:c r="B13" s="25" t="n">
        <x:f>282.481/B9*B8/100</x:f>
        <x:v>8.070885714285714</x:v>
      </x:c>
      <x:c r="C13" s="15" t="s">
        <x:v>209</x:v>
      </x:c>
      <x:c r="D13" s="15" t="s">
        <x:v>229</x:v>
      </x:c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5"/>
      <x:c r="B14" s="26" t="n">
        <x:f>B5*B6</x:f>
        <x:v>95.325</x:v>
      </x:c>
      <x:c r="C14" s="15"/>
      <x:c r="D14" s="15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5"/>
      <x:c r="B15" s="26"/>
      <x:c r="C15" s="15"/>
      <x:c r="D15" s="15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16">
      <x:c r="A16" s="27" t="s">
        <x:v>231</x:v>
      </x:c>
      <x:c r="B16" s="28" t="n">
        <x:f>B4+B14+(B14*B7)+(B13*B10)+B11</x:f>
        <x:v>214.66465261714285</x:v>
      </x:c>
      <x:c r="C16" s="15"/>
      <x:c r="D16" s="15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5"/>
      <x:c r="B17" s="15"/>
      <x:c r="C17" s="15"/>
      <x:c r="D17" s="15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16">
      <x:c r="A18" s="16" t="s">
        <x:v>30</x:v>
      </x:c>
      <x:c r="B18" s="16"/>
      <x:c r="C18" s="16"/>
      <x:c r="D18" s="16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 ht="16">
      <x:c r="A19" s="17" t="s">
        <x:v>232</x:v>
      </x:c>
      <x:c r="B19" s="73" t="s">
        <x:v>233</x:v>
      </x:c>
      <x:c r="C19" s="73"/>
      <x:c r="D19" s="73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 ht="16">
      <x:c r="A20" s="17" t="s">
        <x:v>234</x:v>
      </x:c>
      <x:c r="B20" s="73" t="s">
        <x:v>235</x:v>
      </x:c>
      <x:c r="C20" s="73"/>
      <x:c r="D20" s="73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 ht="16">
      <x:c r="A21" s="17" t="s">
        <x:v>236</x:v>
      </x:c>
      <x:c r="B21" s="73" t="s">
        <x:v>237</x:v>
      </x:c>
      <x:c r="C21" s="73"/>
      <x:c r="D21" s="73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mergeCells>
    <x:mergeCell ref="A1:D1"/>
    <x:mergeCell ref="B19:D19"/>
    <x:mergeCell ref="B20:D20"/>
    <x:mergeCell ref="B21:D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9" customWidth="1"/>
    <x:col min="2" max="2" width="38" customWidth="1"/>
    <x:col min="3" max="4" width="18" customWidth="1"/>
    <x:col min="5" max="5" width="20" customWidth="1"/>
    <x:col min="6" max="6" width="62" customWidth="1"/>
  </x:cols>
  <x:sheetData>
    <x:row r="1" ht="16">
      <x:c r="A1" s="21" t="s">
        <x:v>51</x:v>
      </x:c>
      <x:c r="B1" s="21" t="s">
        <x:v>238</x:v>
      </x:c>
      <x:c r="C1" s="21" t="s">
        <x:v>239</x:v>
      </x:c>
      <x:c r="D1" s="21" t="s">
        <x:v>54</x:v>
      </x:c>
      <x:c r="E1" s="21" t="s">
        <x:v>240</x:v>
      </x:c>
      <x:c r="F1" s="21" t="s">
        <x:v>241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2">
      <x:c r="A2" s="15" t="s">
        <x:v>242</x:v>
      </x:c>
      <x:c r="B2" s="15" t="s">
        <x:v>11</x:v>
      </x:c>
      <x:c r="C2" s="29">
        <x:v>21</x:v>
      </x:c>
      <x:c r="D2" s="15" t="s">
        <x:v>243</x:v>
      </x:c>
      <x:c r="E2" s="15" t="s">
        <x:v>244</x:v>
      </x:c>
      <x:c r="F2" s="15" t="s">
        <x:v>245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246</x:v>
      </x:c>
      <x:c r="B3" s="15" t="s">
        <x:v>247</x:v>
      </x:c>
      <x:c r="C3" s="29">
        <x:v>2</x:v>
      </x:c>
      <x:c r="D3" s="15" t="s">
        <x:v>248</x:v>
      </x:c>
      <x:c r="E3" s="15" t="s">
        <x:v>244</x:v>
      </x:c>
      <x:c r="F3" s="15" t="s">
        <x:v>249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6">
      <x:c r="A4" s="15" t="s">
        <x:v>250</x:v>
      </x:c>
      <x:c r="B4" s="15" t="s">
        <x:v>251</x:v>
      </x:c>
      <x:c r="C4" s="29">
        <x:v>3</x:v>
      </x:c>
      <x:c r="D4" s="15" t="s">
        <x:v>252</x:v>
      </x:c>
      <x:c r="E4" s="15" t="s">
        <x:v>244</x:v>
      </x:c>
      <x:c r="F4" s="15" t="s">
        <x:v>253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254</x:v>
      </x:c>
      <x:c r="B5" s="15" t="s">
        <x:v>255</x:v>
      </x:c>
      <x:c r="C5" s="29">
        <x:v>35</x:v>
      </x:c>
      <x:c r="D5" s="15" t="s">
        <x:v>256</x:v>
      </x:c>
      <x:c r="E5" s="15" t="s">
        <x:v>244</x:v>
      </x:c>
      <x:c r="F5" s="15" t="s">
        <x:v>257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258</x:v>
      </x:c>
      <x:c r="B6" s="15" t="s">
        <x:v>259</x:v>
      </x:c>
      <x:c r="C6" s="29">
        <x:v>25</x:v>
      </x:c>
      <x:c r="D6" s="15" t="s">
        <x:v>260</x:v>
      </x:c>
      <x:c r="E6" s="15" t="s">
        <x:v>244</x:v>
      </x:c>
      <x:c r="F6" s="15" t="s">
        <x:v>261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16">
      <x:c r="A7" s="15" t="s">
        <x:v>262</x:v>
      </x:c>
      <x:c r="B7" s="15" t="s">
        <x:v>263</x:v>
      </x:c>
      <x:c r="C7" s="29">
        <x:v>3</x:v>
      </x:c>
      <x:c r="D7" s="15" t="s">
        <x:v>260</x:v>
      </x:c>
      <x:c r="E7" s="15" t="s">
        <x:v>244</x:v>
      </x:c>
      <x:c r="F7" s="15" t="s">
        <x:v>264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6">
      <x:c r="A8" s="15" t="s">
        <x:v>265</x:v>
      </x:c>
      <x:c r="B8" s="15" t="s">
        <x:v>266</x:v>
      </x:c>
      <x:c r="C8" s="29">
        <x:v>10</x:v>
      </x:c>
      <x:c r="D8" s="15" t="s">
        <x:v>267</x:v>
      </x:c>
      <x:c r="E8" s="15" t="s">
        <x:v>244</x:v>
      </x:c>
      <x:c r="F8" s="15" t="s">
        <x:v>268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6">
      <x:c r="A9" s="15" t="s">
        <x:v>269</x:v>
      </x:c>
      <x:c r="B9" s="15" t="s">
        <x:v>270</x:v>
      </x:c>
      <x:c r="C9" s="29">
        <x:v>12.71</x:v>
      </x:c>
      <x:c r="D9" s="15" t="s">
        <x:v>144</x:v>
      </x:c>
      <x:c r="E9" s="15" t="s">
        <x:v>271</x:v>
      </x:c>
      <x:c r="F9" s="15" t="s">
        <x:v>272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5" t="s">
        <x:v>273</x:v>
      </x:c>
      <x:c r="B10" s="15" t="s">
        <x:v>274</x:v>
      </x:c>
      <x:c r="C10" s="24">
        <x:v>0.15</x:v>
      </x:c>
      <x:c r="D10" s="15" t="s">
        <x:v>81</x:v>
      </x:c>
      <x:c r="E10" s="15" t="s">
        <x:v>275</x:v>
      </x:c>
      <x:c r="F10" s="15" t="s">
        <x:v>276</x:v>
      </x:c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16">
      <x:c r="A11" s="15" t="s">
        <x:v>277</x:v>
      </x:c>
      <x:c r="B11" s="15" t="s">
        <x:v>278</x:v>
      </x:c>
      <x:c r="C11" s="29">
        <x:v>125</x:v>
      </x:c>
      <x:c r="D11" s="15" t="s">
        <x:v>256</x:v>
      </x:c>
      <x:c r="E11" s="15" t="s">
        <x:v>244</x:v>
      </x:c>
      <x:c r="F11" s="15" t="s">
        <x:v>279</x:v>
      </x:c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16">
      <x:c r="A12" s="15" t="s">
        <x:v>280</x:v>
      </x:c>
      <x:c r="B12" s="15" t="s">
        <x:v>281</x:v>
      </x:c>
      <x:c r="C12" s="29">
        <x:v>150</x:v>
      </x:c>
      <x:c r="D12" s="15" t="s">
        <x:v>256</x:v>
      </x:c>
      <x:c r="E12" s="15" t="s">
        <x:v>244</x:v>
      </x:c>
      <x:c r="F12" s="15" t="s">
        <x:v>282</x:v>
      </x:c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16">
      <x:c r="A13" s="15" t="s">
        <x:v>283</x:v>
      </x:c>
      <x:c r="B13" s="15" t="s">
        <x:v>284</x:v>
      </x:c>
      <x:c r="C13" s="29">
        <x:v>100</x:v>
      </x:c>
      <x:c r="D13" s="15" t="s">
        <x:v>256</x:v>
      </x:c>
      <x:c r="E13" s="15" t="s">
        <x:v>244</x:v>
      </x:c>
      <x:c r="F13" s="15" t="s">
        <x:v>285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16">
      <x:c r="A14" s="15" t="s">
        <x:v>286</x:v>
      </x:c>
      <x:c r="B14" s="15" t="s">
        <x:v>287</x:v>
      </x:c>
      <x:c r="C14" s="29">
        <x:v>100</x:v>
      </x:c>
      <x:c r="D14" s="15" t="s">
        <x:v>256</x:v>
      </x:c>
      <x:c r="E14" s="15" t="s">
        <x:v>244</x:v>
      </x:c>
      <x:c r="F14" s="15" t="s">
        <x:v>288</x:v>
      </x:c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16">
      <x:c r="A15" s="15" t="s">
        <x:v>289</x:v>
      </x:c>
      <x:c r="B15" s="15" t="s">
        <x:v>290</x:v>
      </x:c>
      <x:c r="C15" s="29">
        <x:v>52</x:v>
      </x:c>
      <x:c r="D15" s="15" t="s">
        <x:v>291</x:v>
      </x:c>
      <x:c r="E15" s="15" t="s">
        <x:v>292</x:v>
      </x:c>
      <x:c r="F15" s="15" t="s">
        <x:v>293</x:v>
      </x:c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">
        <x:v>294</x:v>
      </x:c>
      <x:c r="B16" s="14" t="s">
        <x:v>295</x:v>
      </x:c>
      <x:c r="C16" s="49">
        <x:v>275</x:v>
      </x:c>
      <x:c r="D16" s="14" t="s">
        <x:v>296</x:v>
      </x:c>
      <x:c r="E16" s="14" t="s">
        <x:v>297</x:v>
      </x:c>
      <x:c r="F16" s="14" t="s">
        <x:v>298</x:v>
      </x:c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dd33df443a8a4544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36" customWidth="1"/>
    <x:col min="2" max="2" width="24" customWidth="1"/>
    <x:col min="3" max="4" width="18" customWidth="1"/>
  </x:cols>
  <x:sheetData>
    <x:row r="1" ht="18">
      <x:c r="A1" s="72" t="s">
        <x:v>299</x:v>
      </x:c>
      <x:c r="B1" s="72"/>
      <x:c r="C1" s="72"/>
      <x:c r="D1" s="72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/>
      <x:c r="B2" s="15"/>
      <x:c r="C2" s="15"/>
      <x:c r="D2" s="15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6" t="s">
        <x:v>300</x:v>
      </x:c>
      <x:c r="B3" s="16" t="s">
        <x:v>32</x:v>
      </x:c>
      <x:c r="C3" s="15"/>
      <x:c r="D3" s="15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6">
      <x:c r="A4" s="15" t="s">
        <x:v>301</x:v>
      </x:c>
      <x:c r="B4" s="15" t="n">
        <x:f>Assumptions!C15/12</x:f>
        <x:v>4.333333333333333</x:v>
      </x:c>
      <x:c r="C4" s="15"/>
      <x:c r="D4" s="15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11</x:v>
      </x:c>
      <x:c r="B5" s="15" t="n">
        <x:f>Assumptions!C2</x:f>
        <x:v>21</x:v>
      </x:c>
      <x:c r="C5" s="15"/>
      <x:c r="D5" s="15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16">
      <x:c r="A6" s="15" t="s">
        <x:v>302</x:v>
      </x:c>
      <x:c r="B6" s="15" t="n">
        <x:f>Assumptions!C3</x:f>
        <x:v>2</x:v>
      </x:c>
      <x:c r="C6" s="15"/>
      <x:c r="D6" s="15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16">
      <x:c r="A7" s="15" t="s">
        <x:v>303</x:v>
      </x:c>
      <x:c r="B7" s="15" t="n">
        <x:f>Assumptions!C4</x:f>
        <x:v>3</x:v>
      </x:c>
      <x:c r="C7" s="15"/>
      <x:c r="D7" s="15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6">
      <x:c r="A8" s="15" t="s">
        <x:v>304</x:v>
      </x:c>
      <x:c r="B8" s="30" t="n">
        <x:f>Assumptions!C5</x:f>
        <x:v>35</x:v>
      </x:c>
      <x:c r="C8" s="15"/>
      <x:c r="D8" s="15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6">
      <x:c r="A9" s="15" t="s">
        <x:v>305</x:v>
      </x:c>
      <x:c r="B9" s="30" t="n">
        <x:f>Assumptions!C6</x:f>
        <x:v>25</x:v>
      </x:c>
      <x:c r="C9" s="15"/>
      <x:c r="D9" s="15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5" t="s">
        <x:v>306</x:v>
      </x:c>
      <x:c r="B10" s="30" t="n">
        <x:f>Assumptions!C7</x:f>
        <x:v>3</x:v>
      </x:c>
      <x:c r="C10" s="15"/>
      <x:c r="D10" s="15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16">
      <x:c r="A11" s="15" t="s">
        <x:v>38</x:v>
      </x:c>
      <x:c r="B11" s="30" t="n">
        <x:f>Assumptions!C16</x:f>
        <x:v>275</x:v>
      </x:c>
      <x:c r="C11" s="15"/>
      <x:c r="D11" s="15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16">
      <x:c r="A12" s="15" t="s">
        <x:v>307</x:v>
      </x:c>
      <x:c r="B12" s="30" t="n">
        <x:f>Assumptions!C8</x:f>
        <x:v>10</x:v>
      </x:c>
      <x:c r="C12" s="15"/>
      <x:c r="D12" s="15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16">
      <x:c r="A13" s="15" t="s">
        <x:v>308</x:v>
      </x:c>
      <x:c r="B13" s="30" t="n">
        <x:f>Assumptions!C9</x:f>
        <x:v>12.71</x:v>
      </x:c>
      <x:c r="C13" s="15"/>
      <x:c r="D13" s="15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16">
      <x:c r="A14" s="15" t="s">
        <x:v>309</x:v>
      </x:c>
      <x:c r="B14" s="30" t="n">
        <x:f>Assumptions!C10</x:f>
        <x:v>0.15</x:v>
      </x:c>
      <x:c r="C14" s="15"/>
      <x:c r="D14" s="15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16">
      <x:c r="A15" s="15" t="s">
        <x:v>310</x:v>
      </x:c>
      <x:c r="B15" s="30" t="n">
        <x:f>SUM(Assumptions!C11:C14)</x:f>
        <x:v>475</x:v>
      </x:c>
      <x:c r="C15" s="15"/>
      <x:c r="D15" s="15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16">
      <x:c r="A16" s="15" t="s">
        <x:v>311</x:v>
      </x:c>
      <x:c r="B16" s="15" t="n">
        <x:f>B4*B6</x:f>
        <x:v>8.666666666666666</x:v>
      </x:c>
      <x:c r="C16" s="15"/>
      <x:c r="D16" s="15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 ht="16">
      <x:c r="A17" s="15" t="s">
        <x:v>312</x:v>
      </x:c>
      <x:c r="B17" s="15" t="n">
        <x:f>B5*B16</x:f>
        <x:v>182</x:v>
      </x:c>
      <x:c r="C17" s="15"/>
      <x:c r="D17" s="15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16">
      <x:c r="A18" s="15" t="s">
        <x:v>313</x:v>
      </x:c>
      <x:c r="B18" s="15" t="n">
        <x:f>B4*B7</x:f>
        <x:v>13</x:v>
      </x:c>
      <x:c r="C18" s="15"/>
      <x:c r="D18" s="15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5"/>
      <x:c r="B19" s="15"/>
      <x:c r="C19" s="15"/>
      <x:c r="D19" s="15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 ht="16">
      <x:c r="A20" s="21" t="s">
        <x:v>314</x:v>
      </x:c>
      <x:c r="B20" s="21" t="s">
        <x:v>315</x:v>
      </x:c>
      <x:c r="C20" s="15"/>
      <x:c r="D20" s="15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 ht="16">
      <x:c r="A21" s="15" t="s">
        <x:v>316</x:v>
      </x:c>
      <x:c r="B21" s="18" t="n">
        <x:f>B5*B8</x:f>
        <x:v>735</x:v>
      </x:c>
      <x:c r="C21" s="15"/>
      <x:c r="D21" s="15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 ht="16">
      <x:c r="A22" s="15" t="s">
        <x:v>317</x:v>
      </x:c>
      <x:c r="B22" s="18" t="n">
        <x:f>B17*B9</x:f>
        <x:v>4550</x:v>
      </x:c>
      <x:c r="C22" s="15"/>
      <x:c r="D22" s="15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 ht="16">
      <x:c r="A23" s="15" t="s">
        <x:v>318</x:v>
      </x:c>
      <x:c r="B23" s="18" t="n">
        <x:f>SUM(B21:B22)</x:f>
        <x:v>5285</x:v>
      </x:c>
      <x:c r="C23" s="15"/>
      <x:c r="D23" s="15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 ht="16">
      <x:c r="A24" s="15" t="s">
        <x:v>319</x:v>
      </x:c>
      <x:c r="B24" s="18" t="n">
        <x:f>B17*B10</x:f>
        <x:v>546</x:v>
      </x:c>
      <x:c r="C24" s="15"/>
      <x:c r="D24" s="15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 ht="16">
      <x:c r="A25" s="15" t="s">
        <x:v>320</x:v>
      </x:c>
      <x:c r="B25" s="18" t="n">
        <x:f>B18*B11</x:f>
        <x:v>3575</x:v>
      </x:c>
      <x:c r="C25" s="15"/>
      <x:c r="D25" s="15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 ht="16">
      <x:c r="A26" s="15" t="s">
        <x:v>321</x:v>
      </x:c>
      <x:c r="B26" s="18" t="n">
        <x:f>(B12*B4*B13)*(1+B14)+B15</x:f>
        <x:v>1108.3816666666667</x:v>
      </x:c>
      <x:c r="C26" s="15"/>
      <x:c r="D26" s="15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 ht="16">
      <x:c r="A27" s="15" t="s">
        <x:v>322</x:v>
      </x:c>
      <x:c r="B27" s="18" t="n">
        <x:f>B23-SUM(B24:B26)</x:f>
        <x:v>55.618333333333794</x:v>
      </x:c>
      <x:c r="C27" s="15"/>
      <x:c r="D27" s="15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 ht="16">
      <x:c r="A28" s="15" t="s">
        <x:v>26</x:v>
      </x:c>
      <x:c r="B28" s="19" t="n">
        <x:f>IF(B23=0,0,B27/B23)</x:f>
        <x:v>0.01052380952380961</x:v>
      </x:c>
      <x:c r="C28" s="15"/>
      <x:c r="D28" s="15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 ht="16">
      <x:c r="A29" s="15" t="s">
        <x:v>28</x:v>
      </x:c>
      <x:c r="B29" s="31" t="n">
        <x:f>ROUNDUP((B25+B26)/(B8+(B9-B10)*B16),0)</x:f>
        <x:v>21</x:v>
      </x:c>
      <x:c r="C29" s="15"/>
      <x:c r="D29" s="15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5"/>
      <x:c r="B30" s="15"/>
      <x:c r="C30" s="15"/>
      <x:c r="D30" s="15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 ht="16">
      <x:c r="A31" s="27" t="s">
        <x:v>323</x:v>
      </x:c>
      <x:c r="B31" s="28" t="n">
        <x:f>B8+(B9-B10)*B16</x:f>
        <x:v>225.66666666666666</x:v>
      </x:c>
      <x:c r="C31" s="15"/>
      <x:c r="D31" s="15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5"/>
      <x:c r="B32" s="15"/>
      <x:c r="C32" s="15"/>
      <x:c r="D32" s="15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 ht="16">
      <x:c r="A33" s="50" t="s">
        <x:v>324</x:v>
      </x:c>
      <x:c r="B33" s="50" t="s">
        <x:v>32</x:v>
      </x:c>
      <x:c r="C33" s="15"/>
      <x:c r="D33" s="15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 ht="16">
      <x:c r="A34" s="15" t="s">
        <x:v>325</x:v>
      </x:c>
      <x:c r="B34" s="19" t="n">
        <x:f>B28</x:f>
        <x:v>0.01052380952380961</x:v>
      </x:c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 ht="16">
      <x:c r="A35" s="15" t="s">
        <x:v>326</x:v>
      </x:c>
      <x:c r="B35" s="26" t="n">
        <x:f>((((B24+B25+B26)/(1-0.15))-B5*B8)/B17)</x:f>
        <x:v>29.76491057961646</x:v>
      </x:c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 ht="48">
      <x:c r="A36" s="15" t="s">
        <x:v>327</x:v>
      </x:c>
      <x:c r="B36" s="15" t="str">
        <x:f>IF(B28&gt;=0.15,"Scale economics achieved",IF(B27&gt;0,"Threshold case only - validate price/cost improvement","Not viable at current assumptions"))</x:f>
        <x:v>Threshold case only - validate price/cost improvement</x:v>
      </x:c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7" width="15" customWidth="1"/>
  </x:cols>
  <x:sheetData>
    <x:row r="1" ht="17">
      <x:c r="A1" s="74" t="s">
        <x:v>328</x:v>
      </x:c>
      <x:c r="B1" s="74"/>
      <x:c r="C1" s="74"/>
      <x:c r="D1" s="74"/>
      <x:c r="E1" s="74"/>
      <x:c r="F1" s="74"/>
      <x:c r="G1" s="7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32" t="s">
        <x:v>305</x:v>
      </x:c>
      <x:c r="B3" s="33">
        <x:v>180</x:v>
      </x:c>
      <x:c r="C3" s="33">
        <x:v>200</x:v>
      </x:c>
      <x:c r="D3" s="33">
        <x:v>215</x:v>
      </x:c>
      <x:c r="E3" s="33">
        <x:v>230</x:v>
      </x:c>
      <x:c r="F3" s="33">
        <x:v>250</x:v>
      </x:c>
      <x:c r="G3" s="33">
        <x:v>275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34">
        <x:v>19</x:v>
      </x:c>
      <x:c r="B4" s="14" t="n">
        <x:f>ROUNDUP(((Assumptions!C4*(Assumptions!C15/12)*180)+((Assumptions!C8*(Assumptions!C15/12)*Assumptions!C9)*(1+Assumptions!C10))+SUM(Assumptions!C11:C14))/(Assumptions!C5+($A4-Assumptions!C7)*(Assumptions!C3*(Assumptions!C15/12))),0)</x:f>
        <x:v>20</x:v>
      </x:c>
      <x:c r="C4" s="14" t="n">
        <x:f>ROUNDUP(((Assumptions!C4*(Assumptions!C15/12)*200)+((Assumptions!C8*(Assumptions!C15/12)*Assumptions!C9)*(1+Assumptions!C10))+SUM(Assumptions!C11:C14))/(Assumptions!C5+($A4-Assumptions!C7)*(Assumptions!C3*(Assumptions!C15/12))),0)</x:f>
        <x:v>22</x:v>
      </x:c>
      <x:c r="D4" s="14" t="n">
        <x:f>ROUNDUP(((Assumptions!C4*(Assumptions!C15/12)*215)+((Assumptions!C8*(Assumptions!C15/12)*Assumptions!C9)*(1+Assumptions!C10))+SUM(Assumptions!C11:C14))/(Assumptions!C5+($A4-Assumptions!C7)*(Assumptions!C3*(Assumptions!C15/12))),0)</x:f>
        <x:v>23</x:v>
      </x:c>
      <x:c r="E4" s="14" t="n">
        <x:f>ROUNDUP(((Assumptions!C4*(Assumptions!C15/12)*230)+((Assumptions!C8*(Assumptions!C15/12)*Assumptions!C9)*(1+Assumptions!C10))+SUM(Assumptions!C11:C14))/(Assumptions!C5+($A4-Assumptions!C7)*(Assumptions!C3*(Assumptions!C15/12))),0)</x:f>
        <x:v>24</x:v>
      </x:c>
      <x:c r="F4" s="14" t="n">
        <x:f>ROUNDUP(((Assumptions!C4*(Assumptions!C15/12)*250)+((Assumptions!C8*(Assumptions!C15/12)*Assumptions!C9)*(1+Assumptions!C10))+SUM(Assumptions!C11:C14))/(Assumptions!C5+($A4-Assumptions!C7)*(Assumptions!C3*(Assumptions!C15/12))),0)</x:f>
        <x:v>26</x:v>
      </x:c>
      <x:c r="G4" s="14" t="n">
        <x:f>ROUNDUP(((Assumptions!C4*(Assumptions!C15/12)*275)+((Assumptions!C8*(Assumptions!C15/12)*Assumptions!C9)*(1+Assumptions!C10))+SUM(Assumptions!C11:C14))/(Assumptions!C5+($A4-Assumptions!C7)*(Assumptions!C3*(Assumptions!C15/12))),0)</x:f>
        <x:v>27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34">
        <x:v>21</x:v>
      </x:c>
      <x:c r="B5" s="14" t="n">
        <x:f>ROUNDUP(((Assumptions!C4*(Assumptions!C15/12)*180)+((Assumptions!C8*(Assumptions!C15/12)*Assumptions!C9)*(1+Assumptions!C10))+SUM(Assumptions!C11:C14))/(Assumptions!C5+($A5-Assumptions!C7)*(Assumptions!C3*(Assumptions!C15/12))),0)</x:f>
        <x:v>19</x:v>
      </x:c>
      <x:c r="C5" s="14" t="n">
        <x:f>ROUNDUP(((Assumptions!C4*(Assumptions!C15/12)*200)+((Assumptions!C8*(Assumptions!C15/12)*Assumptions!C9)*(1+Assumptions!C10))+SUM(Assumptions!C11:C14))/(Assumptions!C5+($A5-Assumptions!C7)*(Assumptions!C3*(Assumptions!C15/12))),0)</x:f>
        <x:v>20</x:v>
      </x:c>
      <x:c r="D5" s="14" t="n">
        <x:f>ROUNDUP(((Assumptions!C4*(Assumptions!C15/12)*215)+((Assumptions!C8*(Assumptions!C15/12)*Assumptions!C9)*(1+Assumptions!C10))+SUM(Assumptions!C11:C14))/(Assumptions!C5+($A5-Assumptions!C7)*(Assumptions!C3*(Assumptions!C15/12))),0)</x:f>
        <x:v>21</x:v>
      </x:c>
      <x:c r="E5" s="14" t="n">
        <x:f>ROUNDUP(((Assumptions!C4*(Assumptions!C15/12)*230)+((Assumptions!C8*(Assumptions!C15/12)*Assumptions!C9)*(1+Assumptions!C10))+SUM(Assumptions!C11:C14))/(Assumptions!C5+($A5-Assumptions!C7)*(Assumptions!C3*(Assumptions!C15/12))),0)</x:f>
        <x:v>22</x:v>
      </x:c>
      <x:c r="F5" s="14" t="n">
        <x:f>ROUNDUP(((Assumptions!C4*(Assumptions!C15/12)*250)+((Assumptions!C8*(Assumptions!C15/12)*Assumptions!C9)*(1+Assumptions!C10))+SUM(Assumptions!C11:C14))/(Assumptions!C5+($A5-Assumptions!C7)*(Assumptions!C3*(Assumptions!C15/12))),0)</x:f>
        <x:v>23</x:v>
      </x:c>
      <x:c r="G5" s="14" t="n">
        <x:f>ROUNDUP(((Assumptions!C4*(Assumptions!C15/12)*275)+((Assumptions!C8*(Assumptions!C15/12)*Assumptions!C9)*(1+Assumptions!C10))+SUM(Assumptions!C11:C14))/(Assumptions!C5+($A5-Assumptions!C7)*(Assumptions!C3*(Assumptions!C15/12))),0)</x:f>
        <x:v>25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34">
        <x:v>23</x:v>
      </x:c>
      <x:c r="B6" s="14" t="n">
        <x:f>ROUNDUP(((Assumptions!C4*(Assumptions!C15/12)*180)+((Assumptions!C8*(Assumptions!C15/12)*Assumptions!C9)*(1+Assumptions!C10))+SUM(Assumptions!C11:C14))/(Assumptions!C5+($A6-Assumptions!C7)*(Assumptions!C3*(Assumptions!C15/12))),0)</x:f>
        <x:v>17</x:v>
      </x:c>
      <x:c r="C6" s="14" t="n">
        <x:f>ROUNDUP(((Assumptions!C4*(Assumptions!C15/12)*200)+((Assumptions!C8*(Assumptions!C15/12)*Assumptions!C9)*(1+Assumptions!C10))+SUM(Assumptions!C11:C14))/(Assumptions!C5+($A6-Assumptions!C7)*(Assumptions!C3*(Assumptions!C15/12))),0)</x:f>
        <x:v>18</x:v>
      </x:c>
      <x:c r="D6" s="14" t="n">
        <x:f>ROUNDUP(((Assumptions!C4*(Assumptions!C15/12)*215)+((Assumptions!C8*(Assumptions!C15/12)*Assumptions!C9)*(1+Assumptions!C10))+SUM(Assumptions!C11:C14))/(Assumptions!C5+($A6-Assumptions!C7)*(Assumptions!C3*(Assumptions!C15/12))),0)</x:f>
        <x:v>19</x:v>
      </x:c>
      <x:c r="E6" s="14" t="n">
        <x:f>ROUNDUP(((Assumptions!C4*(Assumptions!C15/12)*230)+((Assumptions!C8*(Assumptions!C15/12)*Assumptions!C9)*(1+Assumptions!C10))+SUM(Assumptions!C11:C14))/(Assumptions!C5+($A6-Assumptions!C7)*(Assumptions!C3*(Assumptions!C15/12))),0)</x:f>
        <x:v>20</x:v>
      </x:c>
      <x:c r="F6" s="14" t="n">
        <x:f>ROUNDUP(((Assumptions!C4*(Assumptions!C15/12)*250)+((Assumptions!C8*(Assumptions!C15/12)*Assumptions!C9)*(1+Assumptions!C10))+SUM(Assumptions!C11:C14))/(Assumptions!C5+($A6-Assumptions!C7)*(Assumptions!C3*(Assumptions!C15/12))),0)</x:f>
        <x:v>21</x:v>
      </x:c>
      <x:c r="G6" s="14" t="n">
        <x:f>ROUNDUP(((Assumptions!C4*(Assumptions!C15/12)*275)+((Assumptions!C8*(Assumptions!C15/12)*Assumptions!C9)*(1+Assumptions!C10))+SUM(Assumptions!C11:C14))/(Assumptions!C5+($A6-Assumptions!C7)*(Assumptions!C3*(Assumptions!C15/12))),0)</x:f>
        <x:v>23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34">
        <x:v>25</x:v>
      </x:c>
      <x:c r="B7" s="14" t="n">
        <x:f>ROUNDUP(((Assumptions!C4*(Assumptions!C15/12)*180)+((Assumptions!C8*(Assumptions!C15/12)*Assumptions!C9)*(1+Assumptions!C10))+SUM(Assumptions!C11:C14))/(Assumptions!C5+($A7-Assumptions!C7)*(Assumptions!C3*(Assumptions!C15/12))),0)</x:f>
        <x:v>16</x:v>
      </x:c>
      <x:c r="C7" s="14" t="n">
        <x:f>ROUNDUP(((Assumptions!C4*(Assumptions!C15/12)*200)+((Assumptions!C8*(Assumptions!C15/12)*Assumptions!C9)*(1+Assumptions!C10))+SUM(Assumptions!C11:C14))/(Assumptions!C5+($A7-Assumptions!C7)*(Assumptions!C3*(Assumptions!C15/12))),0)</x:f>
        <x:v>17</x:v>
      </x:c>
      <x:c r="D7" s="14" t="n">
        <x:f>ROUNDUP(((Assumptions!C4*(Assumptions!C15/12)*215)+((Assumptions!C8*(Assumptions!C15/12)*Assumptions!C9)*(1+Assumptions!C10))+SUM(Assumptions!C11:C14))/(Assumptions!C5+($A7-Assumptions!C7)*(Assumptions!C3*(Assumptions!C15/12))),0)</x:f>
        <x:v>18</x:v>
      </x:c>
      <x:c r="E7" s="14" t="n">
        <x:f>ROUNDUP(((Assumptions!C4*(Assumptions!C15/12)*230)+((Assumptions!C8*(Assumptions!C15/12)*Assumptions!C9)*(1+Assumptions!C10))+SUM(Assumptions!C11:C14))/(Assumptions!C5+($A7-Assumptions!C7)*(Assumptions!C3*(Assumptions!C15/12))),0)</x:f>
        <x:v>19</x:v>
      </x:c>
      <x:c r="F7" s="14" t="n">
        <x:f>ROUNDUP(((Assumptions!C4*(Assumptions!C15/12)*250)+((Assumptions!C8*(Assumptions!C15/12)*Assumptions!C9)*(1+Assumptions!C10))+SUM(Assumptions!C11:C14))/(Assumptions!C5+($A7-Assumptions!C7)*(Assumptions!C3*(Assumptions!C15/12))),0)</x:f>
        <x:v>20</x:v>
      </x:c>
      <x:c r="G7" s="14" t="n">
        <x:f>ROUNDUP(((Assumptions!C4*(Assumptions!C15/12)*275)+((Assumptions!C8*(Assumptions!C15/12)*Assumptions!C9)*(1+Assumptions!C10))+SUM(Assumptions!C11:C14))/(Assumptions!C5+($A7-Assumptions!C7)*(Assumptions!C3*(Assumptions!C15/12))),0)</x:f>
        <x:v>21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34">
        <x:v>27</x:v>
      </x:c>
      <x:c r="B8" s="14" t="n">
        <x:f>ROUNDUP(((Assumptions!C4*(Assumptions!C15/12)*180)+((Assumptions!C8*(Assumptions!C15/12)*Assumptions!C9)*(1+Assumptions!C10))+SUM(Assumptions!C11:C14))/(Assumptions!C5+($A8-Assumptions!C7)*(Assumptions!C3*(Assumptions!C15/12))),0)</x:f>
        <x:v>15</x:v>
      </x:c>
      <x:c r="C8" s="14" t="n">
        <x:f>ROUNDUP(((Assumptions!C4*(Assumptions!C15/12)*200)+((Assumptions!C8*(Assumptions!C15/12)*Assumptions!C9)*(1+Assumptions!C10))+SUM(Assumptions!C11:C14))/(Assumptions!C5+($A8-Assumptions!C7)*(Assumptions!C3*(Assumptions!C15/12))),0)</x:f>
        <x:v>16</x:v>
      </x:c>
      <x:c r="D8" s="14" t="n">
        <x:f>ROUNDUP(((Assumptions!C4*(Assumptions!C15/12)*215)+((Assumptions!C8*(Assumptions!C15/12)*Assumptions!C9)*(1+Assumptions!C10))+SUM(Assumptions!C11:C14))/(Assumptions!C5+($A8-Assumptions!C7)*(Assumptions!C3*(Assumptions!C15/12))),0)</x:f>
        <x:v>17</x:v>
      </x:c>
      <x:c r="E8" s="14" t="n">
        <x:f>ROUNDUP(((Assumptions!C4*(Assumptions!C15/12)*230)+((Assumptions!C8*(Assumptions!C15/12)*Assumptions!C9)*(1+Assumptions!C10))+SUM(Assumptions!C11:C14))/(Assumptions!C5+($A8-Assumptions!C7)*(Assumptions!C3*(Assumptions!C15/12))),0)</x:f>
        <x:v>17</x:v>
      </x:c>
      <x:c r="F8" s="14" t="n">
        <x:f>ROUNDUP(((Assumptions!C4*(Assumptions!C15/12)*250)+((Assumptions!C8*(Assumptions!C15/12)*Assumptions!C9)*(1+Assumptions!C10))+SUM(Assumptions!C11:C14))/(Assumptions!C5+($A8-Assumptions!C7)*(Assumptions!C3*(Assumptions!C15/12))),0)</x:f>
        <x:v>18</x:v>
      </x:c>
      <x:c r="G8" s="14" t="n">
        <x:f>ROUNDUP(((Assumptions!C4*(Assumptions!C15/12)*275)+((Assumptions!C8*(Assumptions!C15/12)*Assumptions!C9)*(1+Assumptions!C10))+SUM(Assumptions!C11:C14))/(Assumptions!C5+($A8-Assumptions!C7)*(Assumptions!C3*(Assumptions!C15/12))),0)</x:f>
        <x:v>20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75" t="s">
        <x:v>329</x:v>
      </x:c>
      <x:c r="B10" s="75"/>
      <x:c r="C10" s="75"/>
      <x:c r="D10" s="75"/>
      <x:c r="E10" s="75"/>
      <x:c r="F10" s="75"/>
      <x:c r="G10" s="75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mergeCells>
    <x:mergeCell ref="A1:G1"/>
    <x:mergeCell ref="A10:G10"/>
  </x:mergeCells>
  <x:conditionalFormatting sqref="B4:G8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36" customWidth="1"/>
    <x:col min="3" max="3" width="42" customWidth="1"/>
    <x:col min="4" max="4" width="50" customWidth="1"/>
    <x:col min="5" max="5" width="38" customWidth="1"/>
    <x:col min="6" max="6" width="44" customWidth="1"/>
    <x:col min="7" max="7" width="55" customWidth="1"/>
    <x:col min="8" max="8" width="62" customWidth="1"/>
  </x:cols>
  <x:sheetData>
    <x:row r="1" ht="16">
      <x:c r="A1" s="21" t="s">
        <x:v>330</x:v>
      </x:c>
      <x:c r="B1" s="21" t="s">
        <x:v>331</x:v>
      </x:c>
      <x:c r="C1" s="21" t="s">
        <x:v>332</x:v>
      </x:c>
      <x:c r="D1" s="21" t="s">
        <x:v>333</x:v>
      </x:c>
      <x:c r="E1" s="21" t="s">
        <x:v>334</x:v>
      </x:c>
      <x:c r="F1" s="21" t="s">
        <x:v>335</x:v>
      </x:c>
      <x:c r="G1" s="21" t="s">
        <x:v>336</x:v>
      </x:c>
      <x:c r="H1" s="21" t="s">
        <x:v>337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2">
      <x:c r="A2" s="15" t="s">
        <x:v>338</x:v>
      </x:c>
      <x:c r="B2" s="15" t="s">
        <x:v>339</x:v>
      </x:c>
      <x:c r="C2" s="15" t="s">
        <x:v>340</x:v>
      </x:c>
      <x:c r="D2" s="15" t="s">
        <x:v>341</x:v>
      </x:c>
      <x:c r="E2" s="15" t="s">
        <x:v>342</x:v>
      </x:c>
      <x:c r="F2" s="15" t="s">
        <x:v>343</x:v>
      </x:c>
      <x:c r="G2" s="15" t="s">
        <x:v>344</x:v>
      </x:c>
      <x:c r="H2" s="15" t="s">
        <x:v>345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32">
      <x:c r="A3" s="15" t="s">
        <x:v>346</x:v>
      </x:c>
      <x:c r="B3" s="15" t="s">
        <x:v>347</x:v>
      </x:c>
      <x:c r="C3" s="15" t="s">
        <x:v>348</x:v>
      </x:c>
      <x:c r="D3" s="15" t="s">
        <x:v>349</x:v>
      </x:c>
      <x:c r="E3" s="15" t="s">
        <x:v>350</x:v>
      </x:c>
      <x:c r="F3" s="15" t="s">
        <x:v>351</x:v>
      </x:c>
      <x:c r="G3" s="15" t="s">
        <x:v>352</x:v>
      </x:c>
      <x:c r="H3" s="15" t="s">
        <x:v>181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353</x:v>
      </x:c>
      <x:c r="B4" s="15" t="s">
        <x:v>354</x:v>
      </x:c>
      <x:c r="C4" s="15" t="s">
        <x:v>355</x:v>
      </x:c>
      <x:c r="D4" s="15" t="s">
        <x:v>356</x:v>
      </x:c>
      <x:c r="E4" s="15" t="s">
        <x:v>357</x:v>
      </x:c>
      <x:c r="F4" s="15" t="s">
        <x:v>358</x:v>
      </x:c>
      <x:c r="G4" s="15" t="s">
        <x:v>359</x:v>
      </x:c>
      <x:c r="H4" s="15" t="s">
        <x:v>193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32">
      <x:c r="A5" s="15" t="s">
        <x:v>360</x:v>
      </x:c>
      <x:c r="B5" s="15" t="s">
        <x:v>354</x:v>
      </x:c>
      <x:c r="C5" s="15" t="s">
        <x:v>361</x:v>
      </x:c>
      <x:c r="D5" s="15" t="s">
        <x:v>362</x:v>
      </x:c>
      <x:c r="E5" s="15" t="s">
        <x:v>363</x:v>
      </x:c>
      <x:c r="F5" s="15" t="s">
        <x:v>364</x:v>
      </x:c>
      <x:c r="G5" s="15" t="s">
        <x:v>365</x:v>
      </x:c>
      <x:c r="H5" s="15" t="s">
        <x:v>366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367</x:v>
      </x:c>
      <x:c r="B6" s="15" t="s">
        <x:v>368</x:v>
      </x:c>
      <x:c r="C6" s="15" t="s">
        <x:v>369</x:v>
      </x:c>
      <x:c r="D6" s="15" t="s">
        <x:v>370</x:v>
      </x:c>
      <x:c r="E6" s="15" t="s">
        <x:v>371</x:v>
      </x:c>
      <x:c r="F6" s="15" t="s">
        <x:v>372</x:v>
      </x:c>
      <x:c r="G6" s="15" t="s">
        <x:v>373</x:v>
      </x:c>
      <x:c r="H6" s="15" t="s">
        <x:v>374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375</x:v>
      </x:c>
      <x:c r="B7" s="15" t="s">
        <x:v>376</x:v>
      </x:c>
      <x:c r="C7" s="15" t="s">
        <x:v>377</x:v>
      </x:c>
      <x:c r="D7" s="15" t="s">
        <x:v>378</x:v>
      </x:c>
      <x:c r="E7" s="15" t="s">
        <x:v>379</x:v>
      </x:c>
      <x:c r="F7" s="15" t="s">
        <x:v>380</x:v>
      </x:c>
      <x:c r="G7" s="15" t="s">
        <x:v>381</x:v>
      </x:c>
      <x:c r="H7" s="15" t="s">
        <x:v>204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32">
      <x:c r="A8" s="15" t="s">
        <x:v>382</x:v>
      </x:c>
      <x:c r="B8" s="15" t="s">
        <x:v>383</x:v>
      </x:c>
      <x:c r="C8" s="15" t="s">
        <x:v>384</x:v>
      </x:c>
      <x:c r="D8" s="15" t="s">
        <x:v>385</x:v>
      </x:c>
      <x:c r="E8" s="15" t="s">
        <x:v>386</x:v>
      </x:c>
      <x:c r="F8" s="15" t="s">
        <x:v>387</x:v>
      </x:c>
      <x:c r="G8" s="15" t="s">
        <x:v>388</x:v>
      </x:c>
      <x:c r="H8" s="15" t="s">
        <x:v>389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32">
      <x:c r="A9" s="15" t="s">
        <x:v>390</x:v>
      </x:c>
      <x:c r="B9" s="15" t="s">
        <x:v>391</x:v>
      </x:c>
      <x:c r="C9" s="15" t="s">
        <x:v>392</x:v>
      </x:c>
      <x:c r="D9" s="15" t="s">
        <x:v>393</x:v>
      </x:c>
      <x:c r="E9" s="15" t="s">
        <x:v>394</x:v>
      </x:c>
      <x:c r="F9" s="15" t="s">
        <x:v>395</x:v>
      </x:c>
      <x:c r="G9" s="15" t="s">
        <x:v>396</x:v>
      </x:c>
      <x:c r="H9" s="15" t="s">
        <x:v>397</x:v>
      </x:c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32">
      <x:c r="A10" s="15" t="s">
        <x:v>367</x:v>
      </x:c>
      <x:c r="B10" s="15" t="s">
        <x:v>398</x:v>
      </x:c>
      <x:c r="C10" s="15" t="s">
        <x:v>399</x:v>
      </x:c>
      <x:c r="D10" s="15" t="s">
        <x:v>400</x:v>
      </x:c>
      <x:c r="E10" s="15" t="s">
        <x:v>401</x:v>
      </x:c>
      <x:c r="F10" s="15" t="s">
        <x:v>402</x:v>
      </x:c>
      <x:c r="G10" s="15" t="s">
        <x:v>403</x:v>
      </x:c>
      <x:c r="H10" s="15" t="s">
        <x:v>374</x:v>
      </x:c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4a75567a1e224951"/>
  </x:tableParts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10" customWidth="1"/>
    <x:col min="3" max="4" width="52" customWidth="1"/>
    <x:col min="5" max="6" width="55" customWidth="1"/>
    <x:col min="7" max="7" width="16" customWidth="1"/>
    <x:col min="8" max="8" width="48" customWidth="1"/>
  </x:cols>
  <x:sheetData>
    <x:row r="1" ht="16">
      <x:c r="A1" s="21" t="s">
        <x:v>404</x:v>
      </x:c>
      <x:c r="B1" s="21" t="s">
        <x:v>405</x:v>
      </x:c>
      <x:c r="C1" s="21" t="s">
        <x:v>406</x:v>
      </x:c>
      <x:c r="D1" s="21" t="s">
        <x:v>407</x:v>
      </x:c>
      <x:c r="E1" s="21" t="s">
        <x:v>30</x:v>
      </x:c>
      <x:c r="F1" s="21" t="s">
        <x:v>408</x:v>
      </x:c>
      <x:c r="G1" s="21" t="s">
        <x:v>409</x:v>
      </x:c>
      <x:c r="H1" s="21" t="s">
        <x:v>410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2">
      <x:c r="A2" s="15" t="s">
        <x:v>411</x:v>
      </x:c>
      <x:c r="B2" s="15" t="s">
        <x:v>412</x:v>
      </x:c>
      <x:c r="C2" s="15" t="s">
        <x:v>413</x:v>
      </x:c>
      <x:c r="D2" s="15" t="s">
        <x:v>414</x:v>
      </x:c>
      <x:c r="E2" s="15" t="s">
        <x:v>415</x:v>
      </x:c>
      <x:c r="F2" s="15" t="s">
        <x:v>416</x:v>
      </x:c>
      <x:c r="G2" s="15" t="s">
        <x:v>417</x:v>
      </x:c>
      <x:c r="H2" s="15" t="s">
        <x:v>418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48">
      <x:c r="A3" s="15" t="s">
        <x:v>419</x:v>
      </x:c>
      <x:c r="B3" s="15" t="s">
        <x:v>412</x:v>
      </x:c>
      <x:c r="C3" s="15" t="s">
        <x:v>420</x:v>
      </x:c>
      <x:c r="D3" s="15" t="s">
        <x:v>421</x:v>
      </x:c>
      <x:c r="E3" s="15" t="s">
        <x:v>422</x:v>
      </x:c>
      <x:c r="F3" s="15" t="s">
        <x:v>423</x:v>
      </x:c>
      <x:c r="G3" s="15" t="s">
        <x:v>417</x:v>
      </x:c>
      <x:c r="H3" s="15" t="s">
        <x:v>424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425</x:v>
      </x:c>
      <x:c r="B4" s="15" t="s">
        <x:v>426</x:v>
      </x:c>
      <x:c r="C4" s="15" t="s">
        <x:v>427</x:v>
      </x:c>
      <x:c r="D4" s="15" t="s">
        <x:v>428</x:v>
      </x:c>
      <x:c r="E4" s="15" t="s">
        <x:v>429</x:v>
      </x:c>
      <x:c r="F4" s="15" t="s">
        <x:v>430</x:v>
      </x:c>
      <x:c r="G4" s="15" t="s">
        <x:v>417</x:v>
      </x:c>
      <x:c r="H4" s="15" t="s">
        <x:v>431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32">
      <x:c r="A5" s="15" t="s">
        <x:v>432</x:v>
      </x:c>
      <x:c r="B5" s="15" t="s">
        <x:v>433</x:v>
      </x:c>
      <x:c r="C5" s="15" t="s">
        <x:v>434</x:v>
      </x:c>
      <x:c r="D5" s="15" t="s">
        <x:v>435</x:v>
      </x:c>
      <x:c r="E5" s="15" t="s">
        <x:v>436</x:v>
      </x:c>
      <x:c r="F5" s="15" t="s">
        <x:v>437</x:v>
      </x:c>
      <x:c r="G5" s="15" t="s">
        <x:v>438</x:v>
      </x:c>
      <x:c r="H5" s="15" t="s">
        <x:v>439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48">
      <x:c r="A6" s="15" t="s">
        <x:v>440</x:v>
      </x:c>
      <x:c r="B6" s="15" t="s">
        <x:v>433</x:v>
      </x:c>
      <x:c r="C6" s="15" t="s">
        <x:v>441</x:v>
      </x:c>
      <x:c r="D6" s="15" t="s">
        <x:v>442</x:v>
      </x:c>
      <x:c r="E6" s="15" t="s">
        <x:v>443</x:v>
      </x:c>
      <x:c r="F6" s="15" t="s">
        <x:v>444</x:v>
      </x:c>
      <x:c r="G6" s="15" t="s">
        <x:v>445</x:v>
      </x:c>
      <x:c r="H6" s="15" t="s">
        <x:v>446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447</x:v>
      </x:c>
      <x:c r="B7" s="15" t="s">
        <x:v>433</x:v>
      </x:c>
      <x:c r="C7" s="15" t="s">
        <x:v>448</x:v>
      </x:c>
      <x:c r="D7" s="15" t="s">
        <x:v>449</x:v>
      </x:c>
      <x:c r="E7" s="15" t="s">
        <x:v>450</x:v>
      </x:c>
      <x:c r="F7" s="15" t="s">
        <x:v>451</x:v>
      </x:c>
      <x:c r="G7" s="15" t="s">
        <x:v>438</x:v>
      </x:c>
      <x:c r="H7" s="15" t="s">
        <x:v>452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32">
      <x:c r="A8" s="15" t="s">
        <x:v>453</x:v>
      </x:c>
      <x:c r="B8" s="15" t="s">
        <x:v>454</x:v>
      </x:c>
      <x:c r="C8" s="15" t="s">
        <x:v>455</x:v>
      </x:c>
      <x:c r="D8" s="15" t="s">
        <x:v>456</x:v>
      </x:c>
      <x:c r="E8" s="15" t="s">
        <x:v>457</x:v>
      </x:c>
      <x:c r="F8" s="15" t="s">
        <x:v>458</x:v>
      </x:c>
      <x:c r="G8" s="15" t="s">
        <x:v>417</x:v>
      </x:c>
      <x:c r="H8" s="15" t="s">
        <x:v>459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48">
      <x:c r="A9" s="15" t="s">
        <x:v>460</x:v>
      </x:c>
      <x:c r="B9" s="15" t="s">
        <x:v>454</x:v>
      </x:c>
      <x:c r="C9" s="15" t="s">
        <x:v>461</x:v>
      </x:c>
      <x:c r="D9" s="15" t="s">
        <x:v>462</x:v>
      </x:c>
      <x:c r="E9" s="15" t="s">
        <x:v>463</x:v>
      </x:c>
      <x:c r="F9" s="15" t="s">
        <x:v>464</x:v>
      </x:c>
      <x:c r="G9" s="15" t="s">
        <x:v>438</x:v>
      </x:c>
      <x:c r="H9" s="15" t="s">
        <x:v>465</x:v>
      </x:c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32">
      <x:c r="A10" s="15" t="s">
        <x:v>466</x:v>
      </x:c>
      <x:c r="B10" s="15" t="s">
        <x:v>454</x:v>
      </x:c>
      <x:c r="C10" s="15" t="s">
        <x:v>467</x:v>
      </x:c>
      <x:c r="D10" s="15" t="s">
        <x:v>468</x:v>
      </x:c>
      <x:c r="E10" s="15" t="s">
        <x:v>469</x:v>
      </x:c>
      <x:c r="F10" s="15" t="s">
        <x:v>470</x:v>
      </x:c>
      <x:c r="G10" s="15" t="s">
        <x:v>417</x:v>
      </x:c>
      <x:c r="H10" s="15" t="s">
        <x:v>471</x:v>
      </x:c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32">
      <x:c r="A11" s="15" t="s">
        <x:v>472</x:v>
      </x:c>
      <x:c r="B11" s="15" t="s">
        <x:v>454</x:v>
      </x:c>
      <x:c r="C11" s="15" t="s">
        <x:v>473</x:v>
      </x:c>
      <x:c r="D11" s="15" t="s">
        <x:v>474</x:v>
      </x:c>
      <x:c r="E11" s="15" t="s">
        <x:v>475</x:v>
      </x:c>
      <x:c r="F11" s="15" t="s">
        <x:v>476</x:v>
      </x:c>
      <x:c r="G11" s="15" t="s">
        <x:v>445</x:v>
      </x:c>
      <x:c r="H11" s="15" t="s">
        <x:v>477</x:v>
      </x:c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1">
    <x:dataValidation type="list" sqref="G2:G20">
      <x:formula1>"High,Medium-High,Medium,Low"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63e06ec39e4ed0"/>
  </x:tableParts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36" customWidth="1"/>
    <x:col min="3" max="3" width="52" customWidth="1"/>
    <x:col min="4" max="4" width="24" customWidth="1"/>
    <x:col min="5" max="5" width="32" customWidth="1"/>
    <x:col min="6" max="6" width="48" customWidth="1"/>
  </x:cols>
  <x:sheetData>
    <x:row r="1">
      <x:c r="A1" s="35" t="s">
        <x:v>478</x:v>
      </x:c>
      <x:c r="B1" s="35" t="s">
        <x:v>479</x:v>
      </x:c>
      <x:c r="C1" s="35" t="s">
        <x:v>480</x:v>
      </x:c>
      <x:c r="D1" s="35" t="s">
        <x:v>481</x:v>
      </x:c>
      <x:c r="E1" s="35" t="s">
        <x:v>482</x:v>
      </x:c>
      <x:c r="F1" s="35" t="s">
        <x:v>483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2">
      <x:c r="A2" s="15" t="s">
        <x:v>484</x:v>
      </x:c>
      <x:c r="B2" s="15" t="s">
        <x:v>485</x:v>
      </x:c>
      <x:c r="C2" s="15" t="s">
        <x:v>486</x:v>
      </x:c>
      <x:c r="D2" s="15" t="s">
        <x:v>487</x:v>
      </x:c>
      <x:c r="E2" s="15" t="s">
        <x:v>488</x:v>
      </x:c>
      <x:c r="F2" s="15" t="s">
        <x:v>489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490</x:v>
      </x:c>
      <x:c r="B3" s="15" t="s">
        <x:v>491</x:v>
      </x:c>
      <x:c r="C3" s="15" t="s">
        <x:v>492</x:v>
      </x:c>
      <x:c r="D3" s="15" t="s">
        <x:v>493</x:v>
      </x:c>
      <x:c r="E3" s="15" t="s">
        <x:v>494</x:v>
      </x:c>
      <x:c r="F3" s="15" t="s">
        <x:v>495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496</x:v>
      </x:c>
      <x:c r="B4" s="15" t="s">
        <x:v>497</x:v>
      </x:c>
      <x:c r="C4" s="15" t="s">
        <x:v>498</x:v>
      </x:c>
      <x:c r="D4" s="15" t="s">
        <x:v>499</x:v>
      </x:c>
      <x:c r="E4" s="15" t="s">
        <x:v>500</x:v>
      </x:c>
      <x:c r="F4" s="15" t="s">
        <x:v>501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502</x:v>
      </x:c>
      <x:c r="B5" s="15" t="s">
        <x:v>503</x:v>
      </x:c>
      <x:c r="C5" s="15" t="s">
        <x:v>504</x:v>
      </x:c>
      <x:c r="D5" s="15" t="s">
        <x:v>505</x:v>
      </x:c>
      <x:c r="E5" s="15" t="s">
        <x:v>506</x:v>
      </x:c>
      <x:c r="F5" s="15" t="s">
        <x:v>507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508</x:v>
      </x:c>
      <x:c r="B6" s="15" t="s">
        <x:v>509</x:v>
      </x:c>
      <x:c r="C6" s="15" t="s">
        <x:v>510</x:v>
      </x:c>
      <x:c r="D6" s="15" t="s">
        <x:v>511</x:v>
      </x:c>
      <x:c r="E6" s="15" t="s">
        <x:v>512</x:v>
      </x:c>
      <x:c r="F6" s="15" t="s">
        <x:v>513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16">
      <x:c r="A7" s="15" t="s">
        <x:v>514</x:v>
      </x:c>
      <x:c r="B7" s="15" t="s">
        <x:v>515</x:v>
      </x:c>
      <x:c r="C7" s="15" t="s">
        <x:v>516</x:v>
      </x:c>
      <x:c r="D7" s="15" t="s">
        <x:v>517</x:v>
      </x:c>
      <x:c r="E7" s="15" t="s">
        <x:v>518</x:v>
      </x:c>
      <x:c r="F7" s="15" t="s">
        <x:v>519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32">
      <x:c r="A8" s="15" t="s">
        <x:v>520</x:v>
      </x:c>
      <x:c r="B8" s="15" t="s">
        <x:v>521</x:v>
      </x:c>
      <x:c r="C8" s="15" t="s">
        <x:v>522</x:v>
      </x:c>
      <x:c r="D8" s="15" t="s">
        <x:v>487</x:v>
      </x:c>
      <x:c r="E8" s="15" t="s">
        <x:v>523</x:v>
      </x:c>
      <x:c r="F8" s="15" t="s">
        <x:v>524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cd76b445866c4d12"/>
  </x:tableParts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50" customWidth="1"/>
    <x:col min="3" max="3" width="54" customWidth="1"/>
    <x:col min="4" max="4" width="30" customWidth="1"/>
    <x:col min="5" max="5" width="26" customWidth="1"/>
    <x:col min="6" max="6" width="50" customWidth="1"/>
  </x:cols>
  <x:sheetData>
    <x:row r="1">
      <x:c r="A1" s="35" t="s">
        <x:v>525</x:v>
      </x:c>
      <x:c r="B1" s="35" t="s">
        <x:v>526</x:v>
      </x:c>
      <x:c r="C1" s="35" t="s">
        <x:v>527</x:v>
      </x:c>
      <x:c r="D1" s="35" t="s">
        <x:v>528</x:v>
      </x:c>
      <x:c r="E1" s="35" t="s">
        <x:v>529</x:v>
      </x:c>
      <x:c r="F1" s="35" t="s">
        <x:v>410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2">
      <x:c r="A2" s="15" t="s">
        <x:v>530</x:v>
      </x:c>
      <x:c r="B2" s="15" t="s">
        <x:v>531</x:v>
      </x:c>
      <x:c r="C2" s="15" t="s">
        <x:v>532</x:v>
      </x:c>
      <x:c r="D2" s="15" t="s">
        <x:v>533</x:v>
      </x:c>
      <x:c r="E2" s="15" t="s">
        <x:v>534</x:v>
      </x:c>
      <x:c r="F2" s="15" t="s">
        <x:v>535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536</x:v>
      </x:c>
      <x:c r="B3" s="15" t="s">
        <x:v>537</x:v>
      </x:c>
      <x:c r="C3" s="15" t="s">
        <x:v>538</x:v>
      </x:c>
      <x:c r="D3" s="15" t="s">
        <x:v>539</x:v>
      </x:c>
      <x:c r="E3" s="15" t="s">
        <x:v>540</x:v>
      </x:c>
      <x:c r="F3" s="15" t="s">
        <x:v>541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542</x:v>
      </x:c>
      <x:c r="B4" s="15" t="s">
        <x:v>543</x:v>
      </x:c>
      <x:c r="C4" s="15" t="s">
        <x:v>544</x:v>
      </x:c>
      <x:c r="D4" s="15" t="s">
        <x:v>545</x:v>
      </x:c>
      <x:c r="E4" s="15" t="s">
        <x:v>546</x:v>
      </x:c>
      <x:c r="F4" s="15" t="s">
        <x:v>547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548</x:v>
      </x:c>
      <x:c r="B5" s="15" t="s">
        <x:v>549</x:v>
      </x:c>
      <x:c r="C5" s="15" t="s">
        <x:v>550</x:v>
      </x:c>
      <x:c r="D5" s="15" t="s">
        <x:v>551</x:v>
      </x:c>
      <x:c r="E5" s="15" t="s">
        <x:v>244</x:v>
      </x:c>
      <x:c r="F5" s="15" t="s">
        <x:v>552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553</x:v>
      </x:c>
      <x:c r="B6" s="15" t="s">
        <x:v>554</x:v>
      </x:c>
      <x:c r="C6" s="15" t="s">
        <x:v>555</x:v>
      </x:c>
      <x:c r="D6" s="15" t="s">
        <x:v>556</x:v>
      </x:c>
      <x:c r="E6" s="15" t="s">
        <x:v>557</x:v>
      </x:c>
      <x:c r="F6" s="15" t="s">
        <x:v>558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559</x:v>
      </x:c>
      <x:c r="B7" s="15" t="s">
        <x:v>560</x:v>
      </x:c>
      <x:c r="C7" s="15" t="s">
        <x:v>561</x:v>
      </x:c>
      <x:c r="D7" s="15" t="s">
        <x:v>562</x:v>
      </x:c>
      <x:c r="E7" s="15" t="s">
        <x:v>563</x:v>
      </x:c>
      <x:c r="F7" s="15" t="s">
        <x:v>564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47443cb93a3f43dc"/>
  </x:tableParts>
</x:worksheet>
</file>

<file path=xl/worksheets/sheet11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18" customWidth="1"/>
    <x:col min="3" max="3" width="12" customWidth="1"/>
    <x:col min="4" max="4" width="50" customWidth="1"/>
    <x:col min="5" max="5" width="44" customWidth="1"/>
    <x:col min="6" max="6" width="34" customWidth="1"/>
    <x:col min="7" max="7" width="52" customWidth="1"/>
    <x:col min="8" max="8" width="58" customWidth="1"/>
  </x:cols>
  <x:sheetData>
    <x:row r="1" ht="16">
      <x:c r="A1" s="35" t="s">
        <x:v>565</x:v>
      </x:c>
      <x:c r="B1" s="35" t="s">
        <x:v>566</x:v>
      </x:c>
      <x:c r="C1" s="35" t="s">
        <x:v>567</x:v>
      </x:c>
      <x:c r="D1" s="35" t="s">
        <x:v>568</x:v>
      </x:c>
      <x:c r="E1" s="35" t="s">
        <x:v>569</x:v>
      </x:c>
      <x:c r="F1" s="35" t="s">
        <x:v>570</x:v>
      </x:c>
      <x:c r="G1" s="35" t="s">
        <x:v>571</x:v>
      </x:c>
      <x:c r="H1" s="45" t="s">
        <x:v>572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48">
      <x:c r="A2" s="15" t="s">
        <x:v>573</x:v>
      </x:c>
      <x:c r="B2" s="15" t="s">
        <x:v>574</x:v>
      </x:c>
      <x:c r="C2" s="15" t="s">
        <x:v>575</x:v>
      </x:c>
      <x:c r="D2" s="15" t="s">
        <x:v>576</x:v>
      </x:c>
      <x:c r="E2" s="15" t="s">
        <x:v>577</x:v>
      </x:c>
      <x:c r="F2" s="15" t="s">
        <x:v>578</x:v>
      </x:c>
      <x:c r="G2" s="15" t="s">
        <x:v>579</x:v>
      </x:c>
      <x:c r="H2" s="15" t="s">
        <x:v>580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64">
      <x:c r="A3" s="15" t="s">
        <x:v>581</x:v>
      </x:c>
      <x:c r="B3" s="15" t="s">
        <x:v>582</x:v>
      </x:c>
      <x:c r="C3" s="15" t="s">
        <x:v>583</x:v>
      </x:c>
      <x:c r="D3" s="15" t="s">
        <x:v>584</x:v>
      </x:c>
      <x:c r="E3" s="15" t="s">
        <x:v>585</x:v>
      </x:c>
      <x:c r="F3" s="15" t="s">
        <x:v>586</x:v>
      </x:c>
      <x:c r="G3" s="15" t="s">
        <x:v>587</x:v>
      </x:c>
      <x:c r="H3" s="15" t="s">
        <x:v>588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48">
      <x:c r="A4" s="15" t="s">
        <x:v>589</x:v>
      </x:c>
      <x:c r="B4" s="15" t="s">
        <x:v>590</x:v>
      </x:c>
      <x:c r="C4" s="15" t="s">
        <x:v>591</x:v>
      </x:c>
      <x:c r="D4" s="15" t="s">
        <x:v>592</x:v>
      </x:c>
      <x:c r="E4" s="15" t="s">
        <x:v>593</x:v>
      </x:c>
      <x:c r="F4" s="15" t="s">
        <x:v>594</x:v>
      </x:c>
      <x:c r="G4" s="15" t="s">
        <x:v>595</x:v>
      </x:c>
      <x:c r="H4" s="15" t="s">
        <x:v>596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48">
      <x:c r="A5" s="15" t="s">
        <x:v>597</x:v>
      </x:c>
      <x:c r="B5" s="15" t="s">
        <x:v>598</x:v>
      </x:c>
      <x:c r="C5" s="15" t="s">
        <x:v>599</x:v>
      </x:c>
      <x:c r="D5" s="15" t="s">
        <x:v>600</x:v>
      </x:c>
      <x:c r="E5" s="15" t="s">
        <x:v>601</x:v>
      </x:c>
      <x:c r="F5" s="15" t="s">
        <x:v>602</x:v>
      </x:c>
      <x:c r="G5" s="15" t="s">
        <x:v>603</x:v>
      </x:c>
      <x:c r="H5" s="15" t="s">
        <x:v>604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48">
      <x:c r="A6" s="15" t="s">
        <x:v>605</x:v>
      </x:c>
      <x:c r="B6" s="15" t="s">
        <x:v>606</x:v>
      </x:c>
      <x:c r="C6" s="15" t="s">
        <x:v>607</x:v>
      </x:c>
      <x:c r="D6" s="15" t="s">
        <x:v>608</x:v>
      </x:c>
      <x:c r="E6" s="15" t="s">
        <x:v>609</x:v>
      </x:c>
      <x:c r="F6" s="15" t="s">
        <x:v>610</x:v>
      </x:c>
      <x:c r="G6" s="15" t="s">
        <x:v>611</x:v>
      </x:c>
      <x:c r="H6" s="15" t="s">
        <x:v>612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48">
      <x:c r="A7" s="15" t="s">
        <x:v>613</x:v>
      </x:c>
      <x:c r="B7" s="15" t="s">
        <x:v>614</x:v>
      </x:c>
      <x:c r="C7" s="15" t="s">
        <x:v>615</x:v>
      </x:c>
      <x:c r="D7" s="15" t="s">
        <x:v>616</x:v>
      </x:c>
      <x:c r="E7" s="15" t="s">
        <x:v>617</x:v>
      </x:c>
      <x:c r="F7" s="15" t="s">
        <x:v>618</x:v>
      </x:c>
      <x:c r="G7" s="15" t="s">
        <x:v>619</x:v>
      </x:c>
      <x:c r="H7" s="15" t="s">
        <x:v>620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361a1df176bd46c5"/>
  </x:tableParts>
</x:worksheet>
</file>

<file path=xl/worksheets/sheet12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16" customWidth="1"/>
    <x:col min="3" max="3" width="14" customWidth="1"/>
    <x:col min="4" max="4" width="10" customWidth="1"/>
    <x:col min="5" max="5" width="52" customWidth="1"/>
    <x:col min="6" max="6" width="42" customWidth="1"/>
    <x:col min="7" max="7" width="24" customWidth="1"/>
    <x:col min="8" max="8" width="30" customWidth="1"/>
  </x:cols>
  <x:sheetData>
    <x:row r="1">
      <x:c r="A1" s="35" t="s">
        <x:v>621</x:v>
      </x:c>
      <x:c r="B1" s="35" t="s">
        <x:v>622</x:v>
      </x:c>
      <x:c r="C1" s="35" t="s">
        <x:v>623</x:v>
      </x:c>
      <x:c r="D1" s="35" t="s">
        <x:v>624</x:v>
      </x:c>
      <x:c r="E1" s="35" t="s">
        <x:v>625</x:v>
      </x:c>
      <x:c r="F1" s="35" t="s">
        <x:v>626</x:v>
      </x:c>
      <x:c r="G1" s="35" t="s">
        <x:v>481</x:v>
      </x:c>
      <x:c r="H1" s="35" t="s">
        <x:v>627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16">
      <x:c r="A2" s="15" t="s">
        <x:v>628</x:v>
      </x:c>
      <x:c r="B2" s="15">
        <x:v>4</x:v>
      </x:c>
      <x:c r="C2" s="15">
        <x:v>5</x:v>
      </x:c>
      <x:c r="D2" s="15" t="n">
        <x:f t="shared" ref="D2:D14" si="0">B2*C2</x:f>
        <x:v>20</x:v>
      </x:c>
      <x:c r="E2" s="15" t="s">
        <x:v>629</x:v>
      </x:c>
      <x:c r="F2" s="15" t="s">
        <x:v>630</x:v>
      </x:c>
      <x:c r="G2" s="15" t="s">
        <x:v>487</x:v>
      </x:c>
      <x:c r="H2" s="15" t="s">
        <x:v>631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632</x:v>
      </x:c>
      <x:c r="B3" s="15">
        <x:v>4</x:v>
      </x:c>
      <x:c r="C3" s="15">
        <x:v>4</x:v>
      </x:c>
      <x:c r="D3" s="15">
        <x:f t="shared" si="0"/>
        <x:v>16</x:v>
      </x:c>
      <x:c r="E3" s="15" t="s">
        <x:v>633</x:v>
      </x:c>
      <x:c r="F3" s="15" t="s">
        <x:v>634</x:v>
      </x:c>
      <x:c r="G3" s="15" t="s">
        <x:v>635</x:v>
      </x:c>
      <x:c r="H3" s="15" t="s">
        <x:v>417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636</x:v>
      </x:c>
      <x:c r="B4" s="15">
        <x:v>2</x:v>
      </x:c>
      <x:c r="C4" s="15">
        <x:v>5</x:v>
      </x:c>
      <x:c r="D4" s="15">
        <x:f t="shared" si="0"/>
        <x:v>10</x:v>
      </x:c>
      <x:c r="E4" s="15" t="s">
        <x:v>637</x:v>
      </x:c>
      <x:c r="F4" s="15" t="s">
        <x:v>638</x:v>
      </x:c>
      <x:c r="G4" s="15" t="s">
        <x:v>639</x:v>
      </x:c>
      <x:c r="H4" s="15" t="s">
        <x:v>445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640</x:v>
      </x:c>
      <x:c r="B5" s="15">
        <x:v>3</x:v>
      </x:c>
      <x:c r="C5" s="15">
        <x:v>4</x:v>
      </x:c>
      <x:c r="D5" s="15">
        <x:f t="shared" si="0"/>
        <x:v>12</x:v>
      </x:c>
      <x:c r="E5" s="15" t="s">
        <x:v>641</x:v>
      </x:c>
      <x:c r="F5" s="15" t="s">
        <x:v>642</x:v>
      </x:c>
      <x:c r="G5" s="15" t="s">
        <x:v>635</x:v>
      </x:c>
      <x:c r="H5" s="15" t="s">
        <x:v>445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643</x:v>
      </x:c>
      <x:c r="B6" s="15">
        <x:v>3</x:v>
      </x:c>
      <x:c r="C6" s="15">
        <x:v>4</x:v>
      </x:c>
      <x:c r="D6" s="15">
        <x:f t="shared" si="0"/>
        <x:v>12</x:v>
      </x:c>
      <x:c r="E6" s="15" t="s">
        <x:v>644</x:v>
      </x:c>
      <x:c r="F6" s="15" t="s">
        <x:v>645</x:v>
      </x:c>
      <x:c r="G6" s="15" t="s">
        <x:v>487</x:v>
      </x:c>
      <x:c r="H6" s="15" t="s">
        <x:v>445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646</x:v>
      </x:c>
      <x:c r="B7" s="15">
        <x:v>3</x:v>
      </x:c>
      <x:c r="C7" s="15">
        <x:v>4</x:v>
      </x:c>
      <x:c r="D7" s="15">
        <x:f t="shared" si="0"/>
        <x:v>12</x:v>
      </x:c>
      <x:c r="E7" s="15" t="s">
        <x:v>647</x:v>
      </x:c>
      <x:c r="F7" s="15" t="s">
        <x:v>648</x:v>
      </x:c>
      <x:c r="G7" s="15" t="s">
        <x:v>635</x:v>
      </x:c>
      <x:c r="H7" s="15" t="s">
        <x:v>445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32">
      <x:c r="A8" s="15" t="s">
        <x:v>649</x:v>
      </x:c>
      <x:c r="B8" s="15">
        <x:v>3</x:v>
      </x:c>
      <x:c r="C8" s="15">
        <x:v>3</x:v>
      </x:c>
      <x:c r="D8" s="15">
        <x:f t="shared" si="0"/>
        <x:v>9</x:v>
      </x:c>
      <x:c r="E8" s="15" t="s">
        <x:v>650</x:v>
      </x:c>
      <x:c r="F8" s="15" t="s">
        <x:v>651</x:v>
      </x:c>
      <x:c r="G8" s="15" t="s">
        <x:v>487</x:v>
      </x:c>
      <x:c r="H8" s="15" t="s">
        <x:v>445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6">
      <x:c r="A9" s="15" t="s">
        <x:v>652</x:v>
      </x:c>
      <x:c r="B9" s="15">
        <x:v>3</x:v>
      </x:c>
      <x:c r="C9" s="15">
        <x:v>5</x:v>
      </x:c>
      <x:c r="D9" s="15">
        <x:f t="shared" si="0"/>
        <x:v>15</x:v>
      </x:c>
      <x:c r="E9" s="15" t="s">
        <x:v>653</x:v>
      </x:c>
      <x:c r="F9" s="15" t="s">
        <x:v>654</x:v>
      </x:c>
      <x:c r="G9" s="15" t="s">
        <x:v>655</x:v>
      </x:c>
      <x:c r="H9" s="15" t="s">
        <x:v>656</x:v>
      </x:c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32">
      <x:c r="A10" s="15" t="s">
        <x:v>657</x:v>
      </x:c>
      <x:c r="B10" s="15">
        <x:v>2</x:v>
      </x:c>
      <x:c r="C10" s="15">
        <x:v>5</x:v>
      </x:c>
      <x:c r="D10" s="15">
        <x:f t="shared" si="0"/>
        <x:v>10</x:v>
      </x:c>
      <x:c r="E10" s="15" t="s">
        <x:v>658</x:v>
      </x:c>
      <x:c r="F10" s="15" t="s">
        <x:v>659</x:v>
      </x:c>
      <x:c r="G10" s="15" t="s">
        <x:v>517</x:v>
      </x:c>
      <x:c r="H10" s="15" t="s">
        <x:v>445</x:v>
      </x:c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32">
      <x:c r="A11" s="15" t="s">
        <x:v>660</x:v>
      </x:c>
      <x:c r="B11" s="15">
        <x:v>2</x:v>
      </x:c>
      <x:c r="C11" s="15">
        <x:v>5</x:v>
      </x:c>
      <x:c r="D11" s="15">
        <x:f t="shared" si="0"/>
        <x:v>10</x:v>
      </x:c>
      <x:c r="E11" s="15" t="s">
        <x:v>661</x:v>
      </x:c>
      <x:c r="F11" s="15" t="s">
        <x:v>662</x:v>
      </x:c>
      <x:c r="G11" s="15" t="s">
        <x:v>639</x:v>
      </x:c>
      <x:c r="H11" s="15" t="s">
        <x:v>445</x:v>
      </x:c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32">
      <x:c r="A12" s="15" t="s">
        <x:v>663</x:v>
      </x:c>
      <x:c r="B12" s="15">
        <x:v>3</x:v>
      </x:c>
      <x:c r="C12" s="15">
        <x:v>5</x:v>
      </x:c>
      <x:c r="D12" s="15">
        <x:f t="shared" si="0"/>
        <x:v>15</x:v>
      </x:c>
      <x:c r="E12" s="15" t="s">
        <x:v>664</x:v>
      </x:c>
      <x:c r="F12" s="15" t="s">
        <x:v>665</x:v>
      </x:c>
      <x:c r="G12" s="15" t="s">
        <x:v>666</x:v>
      </x:c>
      <x:c r="H12" s="15" t="s">
        <x:v>438</x:v>
      </x:c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32">
      <x:c r="A13" s="15" t="s">
        <x:v>667</x:v>
      </x:c>
      <x:c r="B13" s="15">
        <x:v>4</x:v>
      </x:c>
      <x:c r="C13" s="15">
        <x:v>4</x:v>
      </x:c>
      <x:c r="D13" s="15">
        <x:f t="shared" si="0"/>
        <x:v>16</x:v>
      </x:c>
      <x:c r="E13" s="15" t="s">
        <x:v>668</x:v>
      </x:c>
      <x:c r="F13" s="15" t="s">
        <x:v>669</x:v>
      </x:c>
      <x:c r="G13" s="15" t="s">
        <x:v>635</x:v>
      </x:c>
      <x:c r="H13" s="15" t="s">
        <x:v>670</x:v>
      </x:c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16">
      <x:c r="A14" s="15" t="s">
        <x:v>671</x:v>
      </x:c>
      <x:c r="B14" s="15">
        <x:v>2</x:v>
      </x:c>
      <x:c r="C14" s="15">
        <x:v>3</x:v>
      </x:c>
      <x:c r="D14" s="15">
        <x:f t="shared" si="0"/>
        <x:v>6</x:v>
      </x:c>
      <x:c r="E14" s="15" t="s">
        <x:v>672</x:v>
      </x:c>
      <x:c r="F14" s="15" t="s">
        <x:v>673</x:v>
      </x:c>
      <x:c r="G14" s="15" t="s">
        <x:v>487</x:v>
      </x:c>
      <x:c r="H14" s="15" t="s">
        <x:v>674</x:v>
      </x:c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conditionalFormatting sqref="D2:D9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D10:D14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922c331931f4fbd"/>
  </x:tableParts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30" customWidth="1"/>
    <x:col min="3" max="3" width="45" customWidth="1"/>
    <x:col min="4" max="4" width="34" customWidth="1"/>
    <x:col min="5" max="5" width="46" customWidth="1"/>
    <x:col min="6" max="6" width="30" customWidth="1"/>
  </x:cols>
  <x:sheetData>
    <x:row r="1">
      <x:c r="A1" s="35" t="s">
        <x:v>675</x:v>
      </x:c>
      <x:c r="B1" s="35" t="s">
        <x:v>528</x:v>
      </x:c>
      <x:c r="C1" s="35" t="s">
        <x:v>676</x:v>
      </x:c>
      <x:c r="D1" s="35" t="s">
        <x:v>677</x:v>
      </x:c>
      <x:c r="E1" s="35" t="s">
        <x:v>678</x:v>
      </x:c>
      <x:c r="F1" s="35" t="s">
        <x:v>679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16">
      <x:c r="A2" s="15" t="s">
        <x:v>680</x:v>
      </x:c>
      <x:c r="B2" s="15" t="s">
        <x:v>11</x:v>
      </x:c>
      <x:c r="C2" s="15" t="s">
        <x:v>681</x:v>
      </x:c>
      <x:c r="D2" s="15" t="s">
        <x:v>682</x:v>
      </x:c>
      <x:c r="E2" s="15" t="s">
        <x:v>683</x:v>
      </x:c>
      <x:c r="F2" s="15" t="s">
        <x:v>684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680</x:v>
      </x:c>
      <x:c r="B3" s="15" t="s">
        <x:v>685</x:v>
      </x:c>
      <x:c r="C3" s="15" t="s">
        <x:v>686</x:v>
      </x:c>
      <x:c r="D3" s="15" t="s">
        <x:v>687</x:v>
      </x:c>
      <x:c r="E3" s="15" t="s">
        <x:v>688</x:v>
      </x:c>
      <x:c r="F3" s="15" t="s">
        <x:v>689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6">
      <x:c r="A4" s="15" t="s">
        <x:v>690</x:v>
      </x:c>
      <x:c r="B4" s="15" t="s">
        <x:v>691</x:v>
      </x:c>
      <x:c r="C4" s="15" t="s">
        <x:v>692</x:v>
      </x:c>
      <x:c r="D4" s="15" t="s">
        <x:v>693</x:v>
      </x:c>
      <x:c r="E4" s="15" t="s">
        <x:v>694</x:v>
      </x:c>
      <x:c r="F4" s="15" t="s">
        <x:v>695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690</x:v>
      </x:c>
      <x:c r="B5" s="15" t="s">
        <x:v>696</x:v>
      </x:c>
      <x:c r="C5" s="15" t="s">
        <x:v>697</x:v>
      </x:c>
      <x:c r="D5" s="15" t="s">
        <x:v>698</x:v>
      </x:c>
      <x:c r="E5" s="15" t="s">
        <x:v>699</x:v>
      </x:c>
      <x:c r="F5" s="15" t="s">
        <x:v>700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16">
      <x:c r="A6" s="15" t="s">
        <x:v>701</x:v>
      </x:c>
      <x:c r="B6" s="15" t="s">
        <x:v>702</x:v>
      </x:c>
      <x:c r="C6" s="15" t="s">
        <x:v>703</x:v>
      </x:c>
      <x:c r="D6" s="15" t="s">
        <x:v>704</x:v>
      </x:c>
      <x:c r="E6" s="15" t="s">
        <x:v>705</x:v>
      </x:c>
      <x:c r="F6" s="15" t="s">
        <x:v>706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16">
      <x:c r="A7" s="15" t="s">
        <x:v>707</x:v>
      </x:c>
      <x:c r="B7" s="15" t="s">
        <x:v>708</x:v>
      </x:c>
      <x:c r="C7" s="15" t="s">
        <x:v>709</x:v>
      </x:c>
      <x:c r="D7" s="15" t="s">
        <x:v>710</x:v>
      </x:c>
      <x:c r="E7" s="15" t="s">
        <x:v>711</x:v>
      </x:c>
      <x:c r="F7" s="15" t="s">
        <x:v>712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6">
      <x:c r="A8" s="15" t="s">
        <x:v>707</x:v>
      </x:c>
      <x:c r="B8" s="15" t="s">
        <x:v>713</x:v>
      </x:c>
      <x:c r="C8" s="15" t="s">
        <x:v>714</x:v>
      </x:c>
      <x:c r="D8" s="15" t="s">
        <x:v>715</x:v>
      </x:c>
      <x:c r="E8" s="15" t="s">
        <x:v>716</x:v>
      </x:c>
      <x:c r="F8" s="15" t="s">
        <x:v>712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32">
      <x:c r="A9" s="15" t="s">
        <x:v>717</x:v>
      </x:c>
      <x:c r="B9" s="15" t="s">
        <x:v>718</x:v>
      </x:c>
      <x:c r="C9" s="15" t="s">
        <x:v>719</x:v>
      </x:c>
      <x:c r="D9" s="15" t="s">
        <x:v>720</x:v>
      </x:c>
      <x:c r="E9" s="15" t="s">
        <x:v>721</x:v>
      </x:c>
      <x:c r="F9" s="15" t="s">
        <x:v>722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5" t="s">
        <x:v>723</x:v>
      </x:c>
      <x:c r="B10" s="15" t="s">
        <x:v>724</x:v>
      </x:c>
      <x:c r="C10" s="15" t="s">
        <x:v>725</x:v>
      </x:c>
      <x:c r="D10" s="15" t="s">
        <x:v>726</x:v>
      </x:c>
      <x:c r="E10" s="15" t="s">
        <x:v>727</x:v>
      </x:c>
      <x:c r="F10" s="15" t="s">
        <x:v>728</x:v>
      </x:c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b958ad791e944293"/>
  </x:tableParts>
</x:worksheet>
</file>

<file path=xl/worksheets/sheet14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2" width="24" customWidth="1"/>
    <x:col min="3" max="3" width="36" customWidth="1"/>
    <x:col min="4" max="4" width="50" customWidth="1"/>
    <x:col min="5" max="6" width="48" customWidth="1"/>
    <x:col min="7" max="7" width="14" customWidth="1"/>
    <x:col min="8" max="8" width="22" customWidth="1"/>
    <x:col min="9" max="9" width="70" customWidth="1"/>
  </x:cols>
  <x:sheetData>
    <x:row r="1">
      <x:c r="A1" s="35" t="s">
        <x:v>729</x:v>
      </x:c>
      <x:c r="B1" s="35" t="s">
        <x:v>478</x:v>
      </x:c>
      <x:c r="C1" s="35" t="s">
        <x:v>730</x:v>
      </x:c>
      <x:c r="D1" s="35" t="s">
        <x:v>731</x:v>
      </x:c>
      <x:c r="E1" s="35" t="s">
        <x:v>732</x:v>
      </x:c>
      <x:c r="F1" s="35" t="s">
        <x:v>733</x:v>
      </x:c>
      <x:c r="G1" s="35" t="s">
        <x:v>405</x:v>
      </x:c>
      <x:c r="H1" s="35" t="s">
        <x:v>240</x:v>
      </x:c>
      <x:c r="I1" s="35" t="s">
        <x:v>734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16">
      <x:c r="A2" s="15" t="str">
        <x:v>17 Sep 2026</x:v>
      </x:c>
      <x:c r="B2" s="15" t="s">
        <x:v>735</x:v>
      </x:c>
      <x:c r="C2" s="15" t="s">
        <x:v>736</x:v>
      </x:c>
      <x:c r="D2" s="15" t="str">
        <x:v>3,015 food businesses, updated 17 Sep 2026</x:v>
      </x:c>
      <x:c r="E2" s="15" t="s">
        <x:v>737</x:v>
      </x:c>
      <x:c r="F2" s="15" t="s">
        <x:v>738</x:v>
      </x:c>
      <x:c r="G2" s="15" t="s">
        <x:v>739</x:v>
      </x:c>
      <x:c r="H2" s="15" t="s">
        <x:v>740</x:v>
      </x:c>
      <x:c r="I2" s="15" t="s">
        <x:v>67</x:v>
      </x:c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741</x:v>
      </x:c>
      <x:c r="B3" s="15" t="s">
        <x:v>742</x:v>
      </x:c>
      <x:c r="C3" s="15" t="s">
        <x:v>743</x:v>
      </x:c>
      <x:c r="D3" s="15" t="s">
        <x:v>744</x:v>
      </x:c>
      <x:c r="E3" s="15" t="s">
        <x:v>745</x:v>
      </x:c>
      <x:c r="F3" s="15" t="s">
        <x:v>746</x:v>
      </x:c>
      <x:c r="G3" s="15" t="s">
        <x:v>739</x:v>
      </x:c>
      <x:c r="H3" s="15" t="s">
        <x:v>740</x:v>
      </x:c>
      <x:c r="I3" s="15" t="s">
        <x:v>75</x:v>
      </x:c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741</x:v>
      </x:c>
      <x:c r="B4" s="15" t="s">
        <x:v>747</x:v>
      </x:c>
      <x:c r="C4" s="15" t="s">
        <x:v>748</x:v>
      </x:c>
      <x:c r="D4" s="15" t="s">
        <x:v>749</x:v>
      </x:c>
      <x:c r="E4" s="15" t="s">
        <x:v>750</x:v>
      </x:c>
      <x:c r="F4" s="15" t="s">
        <x:v>751</x:v>
      </x:c>
      <x:c r="G4" s="15" t="s">
        <x:v>412</x:v>
      </x:c>
      <x:c r="H4" s="15" t="s">
        <x:v>740</x:v>
      </x:c>
      <x:c r="I4" s="15" t="s">
        <x:v>92</x:v>
      </x:c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741</x:v>
      </x:c>
      <x:c r="B5" s="15" t="s">
        <x:v>752</x:v>
      </x:c>
      <x:c r="C5" s="15" t="s">
        <x:v>753</x:v>
      </x:c>
      <x:c r="D5" s="15" t="s">
        <x:v>754</x:v>
      </x:c>
      <x:c r="E5" s="15" t="s">
        <x:v>755</x:v>
      </x:c>
      <x:c r="F5" s="15" t="s">
        <x:v>756</x:v>
      </x:c>
      <x:c r="G5" s="15" t="s">
        <x:v>739</x:v>
      </x:c>
      <x:c r="H5" s="15" t="s">
        <x:v>757</x:v>
      </x:c>
      <x:c r="I5" s="15" t="s">
        <x:v>108</x:v>
      </x:c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741</x:v>
      </x:c>
      <x:c r="B6" s="15" t="s">
        <x:v>758</x:v>
      </x:c>
      <x:c r="C6" s="15" t="s">
        <x:v>759</x:v>
      </x:c>
      <x:c r="D6" s="15" t="s">
        <x:v>760</x:v>
      </x:c>
      <x:c r="E6" s="15" t="s">
        <x:v>761</x:v>
      </x:c>
      <x:c r="F6" s="15" t="s">
        <x:v>762</x:v>
      </x:c>
      <x:c r="G6" s="15" t="s">
        <x:v>412</x:v>
      </x:c>
      <x:c r="H6" s="15" t="s">
        <x:v>757</x:v>
      </x:c>
      <x:c r="I6" s="15" t="s">
        <x:v>127</x:v>
      </x:c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741</x:v>
      </x:c>
      <x:c r="B7" s="15" t="s">
        <x:v>763</x:v>
      </x:c>
      <x:c r="C7" s="15" t="s">
        <x:v>764</x:v>
      </x:c>
      <x:c r="D7" s="15" t="s">
        <x:v>765</x:v>
      </x:c>
      <x:c r="E7" s="15" t="s">
        <x:v>766</x:v>
      </x:c>
      <x:c r="F7" s="15" t="s">
        <x:v>767</x:v>
      </x:c>
      <x:c r="G7" s="15" t="s">
        <x:v>426</x:v>
      </x:c>
      <x:c r="H7" s="15" t="s">
        <x:v>740</x:v>
      </x:c>
      <x:c r="I7" s="15" t="s">
        <x:v>136</x:v>
      </x:c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6">
      <x:c r="A8" s="15" t="s">
        <x:v>741</x:v>
      </x:c>
      <x:c r="B8" s="15" t="s">
        <x:v>768</x:v>
      </x:c>
      <x:c r="C8" s="15" t="s">
        <x:v>769</x:v>
      </x:c>
      <x:c r="D8" s="15" t="s">
        <x:v>770</x:v>
      </x:c>
      <x:c r="E8" s="15" t="s">
        <x:v>771</x:v>
      </x:c>
      <x:c r="F8" s="15" t="s">
        <x:v>772</x:v>
      </x:c>
      <x:c r="G8" s="15" t="s">
        <x:v>454</x:v>
      </x:c>
      <x:c r="H8" s="15" t="s">
        <x:v>757</x:v>
      </x:c>
      <x:c r="I8" s="15" t="s">
        <x:v>164</x:v>
      </x:c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32">
      <x:c r="A9" s="15" t="s">
        <x:v>741</x:v>
      </x:c>
      <x:c r="B9" s="15" t="s">
        <x:v>142</x:v>
      </x:c>
      <x:c r="C9" s="15" t="s">
        <x:v>773</x:v>
      </x:c>
      <x:c r="D9" s="15" t="s">
        <x:v>774</x:v>
      </x:c>
      <x:c r="E9" s="15" t="s">
        <x:v>775</x:v>
      </x:c>
      <x:c r="F9" s="15" t="s">
        <x:v>776</x:v>
      </x:c>
      <x:c r="G9" s="15" t="s">
        <x:v>454</x:v>
      </x:c>
      <x:c r="H9" s="15" t="s">
        <x:v>740</x:v>
      </x:c>
      <x:c r="I9" s="15" t="s">
        <x:v>149</x:v>
      </x:c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32">
      <x:c r="A10" s="15" t="s">
        <x:v>741</x:v>
      </x:c>
      <x:c r="B10" s="15" t="s">
        <x:v>777</x:v>
      </x:c>
      <x:c r="C10" s="15" t="s">
        <x:v>778</x:v>
      </x:c>
      <x:c r="D10" s="15" t="s">
        <x:v>779</x:v>
      </x:c>
      <x:c r="E10" s="15" t="s">
        <x:v>780</x:v>
      </x:c>
      <x:c r="F10" s="15" t="s">
        <x:v>781</x:v>
      </x:c>
      <x:c r="G10" s="15" t="s">
        <x:v>454</x:v>
      </x:c>
      <x:c r="H10" s="15" t="s">
        <x:v>757</x:v>
      </x:c>
      <x:c r="I10" s="15" t="s">
        <x:v>193</x:v>
      </x:c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48">
      <x:c r="A11" s="15" t="s">
        <x:v>741</x:v>
      </x:c>
      <x:c r="B11" s="15" t="s">
        <x:v>782</x:v>
      </x:c>
      <x:c r="C11" s="15" t="s">
        <x:v>783</x:v>
      </x:c>
      <x:c r="D11" s="15" t="s">
        <x:v>784</x:v>
      </x:c>
      <x:c r="E11" s="15" t="s">
        <x:v>785</x:v>
      </x:c>
      <x:c r="F11" s="15" t="s">
        <x:v>786</x:v>
      </x:c>
      <x:c r="G11" s="15" t="s">
        <x:v>433</x:v>
      </x:c>
      <x:c r="H11" s="15" t="s">
        <x:v>740</x:v>
      </x:c>
      <x:c r="I11" s="15" t="str">
        <x:v>https://consensus.app/papers/understanding-collaboration-in-short-food-supply-chains-a-stoeva-gompel/ea341361e3aa53a096a680ddcf4232c3/</x:v>
      </x:c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48">
      <x:c r="A12" s="15" t="s">
        <x:v>741</x:v>
      </x:c>
      <x:c r="B12" s="15" t="s">
        <x:v>782</x:v>
      </x:c>
      <x:c r="C12" s="15" t="s">
        <x:v>787</x:v>
      </x:c>
      <x:c r="D12" s="15" t="s">
        <x:v>788</x:v>
      </x:c>
      <x:c r="E12" s="15" t="s">
        <x:v>789</x:v>
      </x:c>
      <x:c r="F12" s="15" t="s">
        <x:v>790</x:v>
      </x:c>
      <x:c r="G12" s="15" t="s">
        <x:v>433</x:v>
      </x:c>
      <x:c r="H12" s="15" t="s">
        <x:v>757</x:v>
      </x:c>
      <x:c r="I12" s="15" t="str">
        <x:v>https://consensus.app/papers/reducing-food-loss-and-waste-within-cold-food-supply-chains-tariq-ali/fe16d4ad0835590a9c79964fa7cbed09/</x:v>
      </x:c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48">
      <x:c r="A13" s="15" t="s">
        <x:v>741</x:v>
      </x:c>
      <x:c r="B13" s="15" t="s">
        <x:v>782</x:v>
      </x:c>
      <x:c r="C13" s="15" t="s">
        <x:v>791</x:v>
      </x:c>
      <x:c r="D13" s="15" t="s">
        <x:v>792</x:v>
      </x:c>
      <x:c r="E13" s="15" t="s">
        <x:v>793</x:v>
      </x:c>
      <x:c r="F13" s="15" t="s">
        <x:v>794</x:v>
      </x:c>
      <x:c r="G13" s="15" t="s">
        <x:v>454</x:v>
      </x:c>
      <x:c r="H13" s="15" t="s">
        <x:v>740</x:v>
      </x:c>
      <x:c r="I13" s="15" t="str">
        <x:v>https://consensus.app/papers/a-stateofpractice-review-of-urban-consolidation-centres-giampoldaki-madas/22c00f8cd3cf53ab9629c4249775da65/</x:v>
      </x:c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32">
      <x:c r="A14" s="15" t="s">
        <x:v>741</x:v>
      </x:c>
      <x:c r="B14" s="15" t="s">
        <x:v>782</x:v>
      </x:c>
      <x:c r="C14" s="15" t="s">
        <x:v>795</x:v>
      </x:c>
      <x:c r="D14" s="15" t="s">
        <x:v>796</x:v>
      </x:c>
      <x:c r="E14" s="15" t="s">
        <x:v>797</x:v>
      </x:c>
      <x:c r="F14" s="15" t="s">
        <x:v>798</x:v>
      </x:c>
      <x:c r="G14" s="15" t="s">
        <x:v>454</x:v>
      </x:c>
      <x:c r="H14" s="15" t="s">
        <x:v>757</x:v>
      </x:c>
      <x:c r="I14" s="15" t="str">
        <x:v>https://consensus.app/papers/towards-sustainable-urban-freight-a-collaborative-apanasevic-fjällström/a44efbb5d3a353c1b3f6d5c64b97a9d9/</x:v>
      </x:c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48">
      <x:c r="A15" s="15" t="s">
        <x:v>799</x:v>
      </x:c>
      <x:c r="B15" s="15" t="s">
        <x:v>800</x:v>
      </x:c>
      <x:c r="C15" s="15" t="s">
        <x:v>801</x:v>
      </x:c>
      <x:c r="D15" s="15" t="s">
        <x:v>802</x:v>
      </x:c>
      <x:c r="E15" s="15" t="s">
        <x:v>803</x:v>
      </x:c>
      <x:c r="F15" s="15" t="s">
        <x:v>804</x:v>
      </x:c>
      <x:c r="G15" s="15" t="s">
        <x:v>805</x:v>
      </x:c>
      <x:c r="H15" s="15" t="s">
        <x:v>757</x:v>
      </x:c>
      <x:c r="I15" s="15" t="s">
        <x:v>204</x:v>
      </x:c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32">
      <x:c r="A16" s="15" t="s">
        <x:v>799</x:v>
      </x:c>
      <x:c r="B16" s="15" t="s">
        <x:v>806</x:v>
      </x:c>
      <x:c r="C16" s="15" t="s">
        <x:v>807</x:v>
      </x:c>
      <x:c r="D16" s="15" t="s">
        <x:v>808</x:v>
      </x:c>
      <x:c r="E16" s="15" t="s">
        <x:v>809</x:v>
      </x:c>
      <x:c r="F16" s="15" t="s">
        <x:v>810</x:v>
      </x:c>
      <x:c r="G16" s="15" t="s">
        <x:v>454</x:v>
      </x:c>
      <x:c r="H16" s="15" t="s">
        <x:v>811</x:v>
      </x:c>
      <x:c r="I16" s="15" t="s">
        <x:v>812</x:v>
      </x:c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 ht="48">
      <x:c r="A17" s="15" t="s">
        <x:v>799</x:v>
      </x:c>
      <x:c r="B17" s="15" t="s">
        <x:v>813</x:v>
      </x:c>
      <x:c r="C17" s="15" t="s">
        <x:v>814</x:v>
      </x:c>
      <x:c r="D17" s="15" t="s">
        <x:v>815</x:v>
      </x:c>
      <x:c r="E17" s="15" t="s">
        <x:v>816</x:v>
      </x:c>
      <x:c r="F17" s="15" t="s">
        <x:v>817</x:v>
      </x:c>
      <x:c r="G17" s="15" t="s">
        <x:v>739</x:v>
      </x:c>
      <x:c r="H17" s="15" t="s">
        <x:v>740</x:v>
      </x:c>
      <x:c r="I17" s="15" t="s">
        <x:v>818</x:v>
      </x:c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48">
      <x:c r="A18" s="15" t="s">
        <x:v>799</x:v>
      </x:c>
      <x:c r="B18" s="15" t="s">
        <x:v>819</x:v>
      </x:c>
      <x:c r="C18" s="15" t="s">
        <x:v>820</x:v>
      </x:c>
      <x:c r="D18" s="15" t="s">
        <x:v>821</x:v>
      </x:c>
      <x:c r="E18" s="15" t="s">
        <x:v>822</x:v>
      </x:c>
      <x:c r="F18" s="15" t="s">
        <x:v>823</x:v>
      </x:c>
      <x:c r="G18" s="15" t="s">
        <x:v>426</x:v>
      </x:c>
      <x:c r="H18" s="15" t="s">
        <x:v>740</x:v>
      </x:c>
      <x:c r="I18" s="15" t="s">
        <x:v>824</x:v>
      </x:c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 ht="48">
      <x:c r="A19" s="15" t="s">
        <x:v>799</x:v>
      </x:c>
      <x:c r="B19" s="15" t="s">
        <x:v>825</x:v>
      </x:c>
      <x:c r="C19" s="15" t="s">
        <x:v>826</x:v>
      </x:c>
      <x:c r="D19" s="15" t="s">
        <x:v>827</x:v>
      </x:c>
      <x:c r="E19" s="15" t="s">
        <x:v>828</x:v>
      </x:c>
      <x:c r="F19" s="15" t="s">
        <x:v>829</x:v>
      </x:c>
      <x:c r="G19" s="15" t="s">
        <x:v>454</x:v>
      </x:c>
      <x:c r="H19" s="15" t="s">
        <x:v>830</x:v>
      </x:c>
      <x:c r="I19" s="15" t="s">
        <x:v>831</x:v>
      </x:c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8dde270c010543ae"/>
  </x:tableParts>
</x:worksheet>
</file>

<file path=xl/worksheets/sheet1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95" customWidth="1"/>
    <x:col min="3" max="3" width="38" customWidth="1"/>
    <x:col min="4" max="4" width="75" customWidth="1"/>
  </x:cols>
  <x:sheetData>
    <x:row r="1">
      <x:c r="A1" s="35" t="s">
        <x:v>832</x:v>
      </x:c>
      <x:c r="B1" s="35" t="s">
        <x:v>337</x:v>
      </x:c>
      <x:c r="C1" s="35" t="s">
        <x:v>833</x:v>
      </x:c>
      <x:c r="D1" s="35" t="s">
        <x:v>734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16">
      <x:c r="A2" s="15" t="s">
        <x:v>834</x:v>
      </x:c>
      <x:c r="B2" s="15" t="str">
        <x:v>Food Standards Agency. Food Hygiene Ratings Scheme open data (Coventry, updated 17 Sep 2026).</x:v>
      </x:c>
      <x:c r="C2" s="15" t="s">
        <x:v>835</x:v>
      </x:c>
      <x:c r="D2" s="15" t="s">
        <x:v>67</x:v>
      </x:c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6">
      <x:c r="A3" s="15" t="s">
        <x:v>836</x:v>
      </x:c>
      <x:c r="B3" s="15" t="s">
        <x:v>837</x:v>
      </x:c>
      <x:c r="C3" s="15" t="s">
        <x:v>838</x:v>
      </x:c>
      <x:c r="D3" s="15" t="s">
        <x:v>75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32">
      <x:c r="A4" s="15" t="s">
        <x:v>839</x:v>
      </x:c>
      <x:c r="B4" s="15" t="s">
        <x:v>840</x:v>
      </x:c>
      <x:c r="C4" s="15" t="s">
        <x:v>841</x:v>
      </x:c>
      <x:c r="D4" s="15" t="s">
        <x:v>92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6">
      <x:c r="A5" s="15" t="s">
        <x:v>842</x:v>
      </x:c>
      <x:c r="B5" s="15" t="s">
        <x:v>843</x:v>
      </x:c>
      <x:c r="C5" s="15" t="s">
        <x:v>844</x:v>
      </x:c>
      <x:c r="D5" s="15" t="s">
        <x:v>108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32">
      <x:c r="A6" s="15" t="s">
        <x:v>845</x:v>
      </x:c>
      <x:c r="B6" s="15" t="s">
        <x:v>846</x:v>
      </x:c>
      <x:c r="C6" s="15" t="s">
        <x:v>847</x:v>
      </x:c>
      <x:c r="D6" s="15" t="s">
        <x:v>127</x:v>
      </x:c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32">
      <x:c r="A7" s="15" t="s">
        <x:v>848</x:v>
      </x:c>
      <x:c r="B7" s="15" t="s">
        <x:v>849</x:v>
      </x:c>
      <x:c r="C7" s="15" t="s">
        <x:v>850</x:v>
      </x:c>
      <x:c r="D7" s="15" t="s">
        <x:v>136</x:v>
      </x:c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6">
      <x:c r="A8" s="15" t="s">
        <x:v>851</x:v>
      </x:c>
      <x:c r="B8" s="15" t="s">
        <x:v>852</x:v>
      </x:c>
      <x:c r="C8" s="15" t="s">
        <x:v>853</x:v>
      </x:c>
      <x:c r="D8" s="15" t="s">
        <x:v>149</x:v>
      </x:c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32">
      <x:c r="A9" s="15" t="s">
        <x:v>854</x:v>
      </x:c>
      <x:c r="B9" s="15" t="s">
        <x:v>855</x:v>
      </x:c>
      <x:c r="C9" s="15" t="s">
        <x:v>856</x:v>
      </x:c>
      <x:c r="D9" s="15" t="s">
        <x:v>155</x:v>
      </x:c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6">
      <x:c r="A10" s="15" t="s">
        <x:v>857</x:v>
      </x:c>
      <x:c r="B10" s="15" t="s">
        <x:v>858</x:v>
      </x:c>
      <x:c r="C10" s="15" t="s">
        <x:v>170</x:v>
      </x:c>
      <x:c r="D10" s="15" t="s">
        <x:v>172</x:v>
      </x:c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16">
      <x:c r="A11" s="15" t="s">
        <x:v>859</x:v>
      </x:c>
      <x:c r="B11" s="15" t="s">
        <x:v>860</x:v>
      </x:c>
      <x:c r="C11" s="15" t="s">
        <x:v>861</x:v>
      </x:c>
      <x:c r="D11" s="15" t="s">
        <x:v>164</x:v>
      </x:c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16">
      <x:c r="A12" s="15" t="s">
        <x:v>862</x:v>
      </x:c>
      <x:c r="B12" s="15" t="s">
        <x:v>863</x:v>
      </x:c>
      <x:c r="C12" s="15" t="s">
        <x:v>179</x:v>
      </x:c>
      <x:c r="D12" s="15" t="s">
        <x:v>181</x:v>
      </x:c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16">
      <x:c r="A13" s="15" t="s">
        <x:v>864</x:v>
      </x:c>
      <x:c r="B13" s="15" t="s">
        <x:v>865</x:v>
      </x:c>
      <x:c r="C13" s="15" t="s">
        <x:v>179</x:v>
      </x:c>
      <x:c r="D13" s="15" t="s">
        <x:v>193</x:v>
      </x:c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16">
      <x:c r="A14" s="15" t="s">
        <x:v>866</x:v>
      </x:c>
      <x:c r="B14" s="15" t="s">
        <x:v>867</x:v>
      </x:c>
      <x:c r="C14" s="15" t="s">
        <x:v>179</x:v>
      </x:c>
      <x:c r="D14" s="15" t="s">
        <x:v>366</x:v>
      </x:c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32">
      <x:c r="A15" s="15" t="s">
        <x:v>868</x:v>
      </x:c>
      <x:c r="B15" s="15" t="s">
        <x:v>869</x:v>
      </x:c>
      <x:c r="C15" s="15" t="s">
        <x:v>870</x:v>
      </x:c>
      <x:c r="D15" s="15" t="str">
        <x:v>https://consensus.app/papers/understanding-collaboration-in-short-food-supply-chains-a-stoeva-gompel/ea341361e3aa53a096a680ddcf4232c3/</x:v>
      </x:c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32">
      <x:c r="A16" s="15" t="s">
        <x:v>871</x:v>
      </x:c>
      <x:c r="B16" s="15" t="s">
        <x:v>872</x:v>
      </x:c>
      <x:c r="C16" s="15" t="s">
        <x:v>873</x:v>
      </x:c>
      <x:c r="D16" s="15" t="str">
        <x:v>https://consensus.app/papers/reducing-food-loss-and-waste-within-cold-food-supply-chains-tariq-ali/fe16d4ad0835590a9c79964fa7cbed09/</x:v>
      </x:c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 ht="32">
      <x:c r="A17" s="15" t="s">
        <x:v>874</x:v>
      </x:c>
      <x:c r="B17" s="15" t="s">
        <x:v>875</x:v>
      </x:c>
      <x:c r="C17" s="15" t="s">
        <x:v>876</x:v>
      </x:c>
      <x:c r="D17" s="15" t="str">
        <x:v>https://consensus.app/papers/a-stateofpractice-review-of-urban-consolidation-centres-giampoldaki-madas/22c00f8cd3cf53ab9629c4249775da65/</x:v>
      </x:c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32">
      <x:c r="A18" s="15" t="s">
        <x:v>877</x:v>
      </x:c>
      <x:c r="B18" s="15" t="s">
        <x:v>878</x:v>
      </x:c>
      <x:c r="C18" s="15" t="s">
        <x:v>879</x:v>
      </x:c>
      <x:c r="D18" s="15" t="str">
        <x:v>https://consensus.app/papers/towards-sustainable-urban-freight-a-collaborative-apanasevic-fjällström/a44efbb5d3a353c1b3f6d5c64b97a9d9/</x:v>
      </x:c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 ht="32">
      <x:c r="A20" s="15" t="s">
        <x:v>880</x:v>
      </x:c>
      <x:c r="B20" s="15" t="s">
        <x:v>881</x:v>
      </x:c>
      <x:c r="C20" s="15" t="s">
        <x:v>882</x:v>
      </x:c>
      <x:c r="D20" s="15" t="s">
        <x:v>883</x:v>
      </x:c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 ht="32">
      <x:c r="A21" s="15" t="s">
        <x:v>884</x:v>
      </x:c>
      <x:c r="B21" s="15" t="s">
        <x:v>885</x:v>
      </x:c>
      <x:c r="C21" s="15" t="s">
        <x:v>886</x:v>
      </x:c>
      <x:c r="D21" s="15" t="s">
        <x:v>887</x:v>
      </x:c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 ht="32">
      <x:c r="A22" s="15" t="s">
        <x:v>888</x:v>
      </x:c>
      <x:c r="B22" s="15" t="s">
        <x:v>889</x:v>
      </x:c>
      <x:c r="C22" s="15" t="s">
        <x:v>890</x:v>
      </x:c>
      <x:c r="D22" s="15" t="s">
        <x:v>891</x:v>
      </x:c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 ht="32">
      <x:c r="A23" s="15" t="s">
        <x:v>892</x:v>
      </x:c>
      <x:c r="B23" s="15" t="s">
        <x:v>893</x:v>
      </x:c>
      <x:c r="C23" s="15" t="s">
        <x:v>894</x:v>
      </x:c>
      <x:c r="D23" s="15" t="s">
        <x:v>895</x:v>
      </x:c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 ht="32">
      <x:c r="A24" s="15" t="s">
        <x:v>896</x:v>
      </x:c>
      <x:c r="B24" s="15" t="s">
        <x:v>897</x:v>
      </x:c>
      <x:c r="C24" s="15" t="s">
        <x:v>898</x:v>
      </x:c>
      <x:c r="D24" s="15" t="s">
        <x:v>899</x:v>
      </x:c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 ht="48">
      <x:c r="A25" s="15" t="s">
        <x:v>900</x:v>
      </x:c>
      <x:c r="B25" s="15" t="s">
        <x:v>901</x:v>
      </x:c>
      <x:c r="C25" s="15" t="s">
        <x:v>902</x:v>
      </x:c>
      <x:c r="D25" s="15" t="s">
        <x:v>204</x:v>
      </x:c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 ht="48">
      <x:c r="A26" s="15" t="s">
        <x:v>903</x:v>
      </x:c>
      <x:c r="B26" s="15" t="s">
        <x:v>904</x:v>
      </x:c>
      <x:c r="C26" s="15" t="s">
        <x:v>905</x:v>
      </x:c>
      <x:c r="D26" s="15" t="s">
        <x:v>831</x:v>
      </x:c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 ht="48">
      <x:c r="A27" s="15" t="s">
        <x:v>906</x:v>
      </x:c>
      <x:c r="B27" s="15" t="s">
        <x:v>907</x:v>
      </x:c>
      <x:c r="C27" s="15" t="s">
        <x:v>908</x:v>
      </x:c>
      <x:c r="D27" s="15" t="s">
        <x:v>909</x:v>
      </x:c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 ht="32">
      <x:c r="A28" s="15" t="s">
        <x:v>910</x:v>
      </x:c>
      <x:c r="B28" s="15" t="s">
        <x:v>911</x:v>
      </x:c>
      <x:c r="C28" s="15" t="s">
        <x:v>912</x:v>
      </x:c>
      <x:c r="D28" s="15" t="s">
        <x:v>913</x:v>
      </x:c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 ht="32">
      <x:c r="A29" s="15" t="s">
        <x:v>914</x:v>
      </x:c>
      <x:c r="B29" s="15" t="s">
        <x:v>915</x:v>
      </x:c>
      <x:c r="C29" s="15" t="s">
        <x:v>916</x:v>
      </x:c>
      <x:c r="D29" s="15" t="s">
        <x:v>917</x:v>
      </x:c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 ht="32">
      <x:c r="A30" s="15" t="s">
        <x:v>918</x:v>
      </x:c>
      <x:c r="B30" s="15" t="s">
        <x:v>919</x:v>
      </x:c>
      <x:c r="C30" s="15" t="s">
        <x:v>920</x:v>
      </x:c>
      <x:c r="D30" s="15" t="s">
        <x:v>824</x:v>
      </x:c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cd4ac85a47434801"/>
  </x:tableParts>
</x:worksheet>
</file>

<file path=xl/worksheets/sheet16.xml><?xml version="1.0" encoding="utf-8"?>
<x:worksheet xmlns:x="http://schemas.openxmlformats.org/spreadsheetml/2006/main">
  <x:sheetFormatPr baseColWidth="10" defaultColWidth="8.83203125" defaultRowHeight="15"/>
  <x:cols>
    <x:col min="1" max="1" width="18" customWidth="1"/>
    <x:col min="2" max="2" width="14" customWidth="1"/>
    <x:col min="3" max="3" width="12" customWidth="1"/>
    <x:col min="4" max="4" width="13" customWidth="1"/>
    <x:col min="5" max="5" width="14" customWidth="1"/>
    <x:col min="6" max="6" width="16" customWidth="1"/>
    <x:col min="7" max="7" width="15" customWidth="1"/>
    <x:col min="8" max="8" width="17" customWidth="1"/>
    <x:col min="9" max="9" width="12" customWidth="1"/>
    <x:col min="10" max="10" width="15" customWidth="1"/>
    <x:col min="11" max="11" width="12" customWidth="1"/>
    <x:col min="12" max="12" width="14" customWidth="1"/>
    <x:col min="13" max="13" width="15" customWidth="1"/>
    <x:col min="14" max="14" width="16" customWidth="1"/>
    <x:col min="15" max="15" width="12" customWidth="1"/>
    <x:col min="16" max="16" width="14" customWidth="1"/>
    <x:col min="17" max="17" width="18" customWidth="1"/>
    <x:col min="18" max="18" width="17" customWidth="1"/>
    <x:col min="19" max="19" width="18" customWidth="1"/>
    <x:col min="20" max="21" width="20" customWidth="1"/>
    <x:col min="22" max="22" width="17" customWidth="1"/>
    <x:col min="23" max="23" width="38" customWidth="1"/>
  </x:cols>
  <x:sheetData>
    <x:row r="1" ht="32">
      <x:c r="A1" s="2" t="s">
        <x:v>244</x:v>
      </x:c>
      <x:c r="B1" s="2" t="s">
        <x:v>921</x:v>
      </x:c>
      <x:c r="C1" s="2" t="s">
        <x:v>922</x:v>
      </x:c>
      <x:c r="D1" s="2" t="s">
        <x:v>923</x:v>
      </x:c>
      <x:c r="E1" s="2" t="s">
        <x:v>924</x:v>
      </x:c>
      <x:c r="F1" s="2" t="s">
        <x:v>925</x:v>
      </x:c>
      <x:c r="G1" s="2" t="s">
        <x:v>926</x:v>
      </x:c>
      <x:c r="H1" s="2" t="s">
        <x:v>927</x:v>
      </x:c>
      <x:c r="I1" s="2" t="s">
        <x:v>928</x:v>
      </x:c>
      <x:c r="J1" s="2" t="s">
        <x:v>929</x:v>
      </x:c>
      <x:c r="K1" s="2" t="s">
        <x:v>930</x:v>
      </x:c>
      <x:c r="L1" s="2" t="s">
        <x:v>931</x:v>
      </x:c>
      <x:c r="M1" s="2" t="s">
        <x:v>932</x:v>
      </x:c>
      <x:c r="N1" s="2" t="s">
        <x:v>933</x:v>
      </x:c>
      <x:c r="O1" s="2" t="s">
        <x:v>934</x:v>
      </x:c>
      <x:c r="P1" s="2" t="s">
        <x:v>935</x:v>
      </x:c>
      <x:c r="Q1" s="2" t="s">
        <x:v>936</x:v>
      </x:c>
      <x:c r="R1" s="2" t="s">
        <x:v>937</x:v>
      </x:c>
      <x:c r="S1" s="47" t="s">
        <x:v>938</x:v>
      </x:c>
      <x:c r="T1" s="47" t="s">
        <x:v>939</x:v>
      </x:c>
      <x:c r="U1" s="47" t="s">
        <x:v>940</x:v>
      </x:c>
      <x:c r="V1" s="47" t="s">
        <x:v>941</x:v>
      </x:c>
      <x:c r="W1" s="47" t="s">
        <x:v>942</x:v>
      </x:c>
    </x:row>
    <x:row r="2" ht="32">
      <x:c r="A2" s="4" t="s">
        <x:v>943</x:v>
      </x:c>
      <x:c r="B2" s="13">
        <x:v>3</x:v>
      </x:c>
      <x:c r="C2" s="13">
        <x:v>8</x:v>
      </x:c>
      <x:c r="D2" s="13">
        <x:v>60</x:v>
      </x:c>
      <x:c r="E2" s="13">
        <x:v>30</x:v>
      </x:c>
      <x:c r="F2" s="13">
        <x:v>12</x:v>
      </x:c>
      <x:c r="G2" s="13">
        <x:v>8</x:v>
      </x:c>
      <x:c r="H2" s="13">
        <x:v>2</x:v>
      </x:c>
      <x:c r="I2" s="13">
        <x:v>20</x:v>
      </x:c>
      <x:c r="J2" s="13">
        <x:v>20</x:v>
      </x:c>
      <x:c r="K2" s="4" t="n">
        <x:f>B2+C2</x:f>
        <x:v>11</x:v>
      </x:c>
      <x:c r="L2" s="4" t="n">
        <x:f>D2/E2*60</x:f>
        <x:v>120</x:v>
      </x:c>
      <x:c r="M2" s="4" t="n">
        <x:f>B2*F2+C2*G2+K2*H2+I2+J2</x:f>
        <x:v>162</x:v>
      </x:c>
      <x:c r="N2" s="4" t="n">
        <x:f>L2+M2</x:f>
        <x:v>282</x:v>
      </x:c>
      <x:c r="O2" s="40" t="n">
        <x:f>N2/60</x:f>
        <x:v>4.7</x:v>
      </x:c>
      <x:c r="P2" s="4" t="str">
        <x:f>IF(O2&lt;=7.5,"YES","NO")</x:f>
        <x:v>YES</x:v>
      </x:c>
      <x:c r="Q2" s="12" t="n">
        <x:f>'Route Cost Build'!B4+MAX(O2,7.5)*'Route Cost Build'!B6*(1+'Route Cost Build'!B7)+(282.481/'Route Cost Build'!B9*D2/100)*'Route Cost Build'!B10+'Route Cost Build'!B11</x:f>
        <x:v>210.90442696285714</x:v>
      </x:c>
      <x:c r="R2" s="12" t="n">
        <x:f>Q2/C2</x:f>
        <x:v>26.363053370357143</x:v>
      </x:c>
      <x:c r="S2" s="57">
        <x:v>1000</x:v>
      </x:c>
      <x:c r="T2" s="57">
        <x:v>50</x:v>
      </x:c>
      <x:c r="U2" s="58" t="n">
        <x:f>C2*T2</x:f>
        <x:v>400</x:v>
      </x:c>
      <x:c r="V2" s="4" t="str">
        <x:f>IF(U2&lt;=0.8*S2,"YES","AMBER")</x:f>
        <x:v>YES</x:v>
      </x:c>
      <x:c r="W2" s="4" t="s">
        <x:v>944</x:v>
      </x:c>
    </x:row>
    <x:row r="3" ht="32">
      <x:c r="A3" s="4" t="s">
        <x:v>945</x:v>
      </x:c>
      <x:c r="B3" s="13">
        <x:v>4</x:v>
      </x:c>
      <x:c r="C3" s="13">
        <x:v>12</x:v>
      </x:c>
      <x:c r="D3" s="13">
        <x:v>80</x:v>
      </x:c>
      <x:c r="E3" s="13">
        <x:v>30</x:v>
      </x:c>
      <x:c r="F3" s="13">
        <x:v>12</x:v>
      </x:c>
      <x:c r="G3" s="13">
        <x:v>8</x:v>
      </x:c>
      <x:c r="H3" s="13">
        <x:v>2</x:v>
      </x:c>
      <x:c r="I3" s="13">
        <x:v>20</x:v>
      </x:c>
      <x:c r="J3" s="13">
        <x:v>25</x:v>
      </x:c>
      <x:c r="K3" s="4" t="n">
        <x:f>B3+C3</x:f>
        <x:v>16</x:v>
      </x:c>
      <x:c r="L3" s="4" t="n">
        <x:f>D3/E3*60</x:f>
        <x:v>160</x:v>
      </x:c>
      <x:c r="M3" s="4" t="n">
        <x:f>B3*F3+C3*G3+K3*H3+I3+J3</x:f>
        <x:v>221</x:v>
      </x:c>
      <x:c r="N3" s="4" t="n">
        <x:f>L3+M3</x:f>
        <x:v>381</x:v>
      </x:c>
      <x:c r="O3" s="40" t="n">
        <x:f>N3/60</x:f>
        <x:v>6.35</x:v>
      </x:c>
      <x:c r="P3" s="4" t="str">
        <x:f>IF(O3&lt;=7.5,"YES","NO")</x:f>
        <x:v>YES</x:v>
      </x:c>
      <x:c r="Q3" s="12" t="n">
        <x:f>'Route Cost Build'!B4+MAX(O3,7.5)*'Route Cost Build'!B6*(1+'Route Cost Build'!B7)+(282.481/'Route Cost Build'!B9*D3/100)*'Route Cost Build'!B10+'Route Cost Build'!B11</x:f>
        <x:v>214.66465261714285</x:v>
      </x:c>
      <x:c r="R3" s="12" t="n">
        <x:f>Q3/C3</x:f>
        <x:v>17.888721051428572</x:v>
      </x:c>
      <x:c r="S3" s="57">
        <x:v>1000</x:v>
      </x:c>
      <x:c r="T3" s="57">
        <x:v>50</x:v>
      </x:c>
      <x:c r="U3" s="58" t="n">
        <x:f>C3*T3</x:f>
        <x:v>600</x:v>
      </x:c>
      <x:c r="V3" s="4" t="str">
        <x:f>IF(U3&lt;=0.8*S3,"YES","AMBER")</x:f>
        <x:v>YES</x:v>
      </x:c>
      <x:c r="W3" s="4" t="s">
        <x:v>944</x:v>
      </x:c>
    </x:row>
    <x:row r="4" ht="32">
      <x:c r="A4" s="4" t="s">
        <x:v>946</x:v>
      </x:c>
      <x:c r="B4" s="13">
        <x:v>4</x:v>
      </x:c>
      <x:c r="C4" s="13">
        <x:v>14</x:v>
      </x:c>
      <x:c r="D4" s="13">
        <x:v>90</x:v>
      </x:c>
      <x:c r="E4" s="13">
        <x:v>30</x:v>
      </x:c>
      <x:c r="F4" s="13">
        <x:v>12</x:v>
      </x:c>
      <x:c r="G4" s="13">
        <x:v>8</x:v>
      </x:c>
      <x:c r="H4" s="13">
        <x:v>2</x:v>
      </x:c>
      <x:c r="I4" s="13">
        <x:v>20</x:v>
      </x:c>
      <x:c r="J4" s="13">
        <x:v>25</x:v>
      </x:c>
      <x:c r="K4" s="4" t="n">
        <x:f>B4+C4</x:f>
        <x:v>18</x:v>
      </x:c>
      <x:c r="L4" s="4" t="n">
        <x:f>D4/E4*60</x:f>
        <x:v>180</x:v>
      </x:c>
      <x:c r="M4" s="4" t="n">
        <x:f>B4*F4+C4*G4+K4*H4+I4+J4</x:f>
        <x:v>241</x:v>
      </x:c>
      <x:c r="N4" s="4" t="n">
        <x:f>L4+M4</x:f>
        <x:v>421</x:v>
      </x:c>
      <x:c r="O4" s="40" t="n">
        <x:f>N4/60</x:f>
        <x:v>7.016666666666667</x:v>
      </x:c>
      <x:c r="P4" s="4" t="str">
        <x:f>IF(O4&lt;=7.5,"YES","NO")</x:f>
        <x:v>YES</x:v>
      </x:c>
      <x:c r="Q4" s="12" t="n">
        <x:f>'Route Cost Build'!B4+MAX(O4,7.5)*'Route Cost Build'!B6*(1+'Route Cost Build'!B7)+(282.481/'Route Cost Build'!B9*D4/100)*'Route Cost Build'!B10+'Route Cost Build'!B11</x:f>
        <x:v>216.5447654442857</x:v>
      </x:c>
      <x:c r="R4" s="12" t="n">
        <x:f>Q4/C4</x:f>
        <x:v>15.467483246020407</x:v>
      </x:c>
      <x:c r="S4" s="57">
        <x:v>1000</x:v>
      </x:c>
      <x:c r="T4" s="57">
        <x:v>50</x:v>
      </x:c>
      <x:c r="U4" s="58" t="n">
        <x:f>C4*T4</x:f>
        <x:v>700</x:v>
      </x:c>
      <x:c r="V4" s="4" t="str">
        <x:f>IF(U4&lt;=0.8*S4,"YES","AMBER")</x:f>
        <x:v>YES</x:v>
      </x:c>
      <x:c r="W4" s="4" t="s">
        <x:v>944</x:v>
      </x:c>
    </x:row>
    <x:row r="5" ht="32">
      <x:c r="A5" s="4" t="s">
        <x:v>947</x:v>
      </x:c>
      <x:c r="B5" s="4">
        <x:v>5</x:v>
      </x:c>
      <x:c r="C5" s="4">
        <x:v>16</x:v>
      </x:c>
      <x:c r="D5" s="4">
        <x:v>100</x:v>
      </x:c>
      <x:c r="E5" s="4">
        <x:v>30</x:v>
      </x:c>
      <x:c r="F5" s="4">
        <x:v>12</x:v>
      </x:c>
      <x:c r="G5" s="4">
        <x:v>8</x:v>
      </x:c>
      <x:c r="H5" s="4">
        <x:v>2</x:v>
      </x:c>
      <x:c r="I5" s="4">
        <x:v>20</x:v>
      </x:c>
      <x:c r="J5" s="4">
        <x:v>30</x:v>
      </x:c>
      <x:c r="K5" s="4" t="n">
        <x:f>B5+C5</x:f>
        <x:v>21</x:v>
      </x:c>
      <x:c r="L5" s="4" t="n">
        <x:f>D5/E5*60</x:f>
        <x:v>200</x:v>
      </x:c>
      <x:c r="M5" s="4" t="n">
        <x:f>B5*F5+C5*G5+K5*H5+I5+J5</x:f>
        <x:v>280</x:v>
      </x:c>
      <x:c r="N5" s="4" t="n">
        <x:f>L5+M5</x:f>
        <x:v>480</x:v>
      </x:c>
      <x:c r="O5" s="40" t="n">
        <x:f>N5/60</x:f>
        <x:v>8</x:v>
      </x:c>
      <x:c r="P5" s="4" t="str">
        <x:f>IF(O5&lt;=7.5,"YES","NO")</x:f>
        <x:v>NO</x:v>
      </x:c>
      <x:c r="Q5" s="12" t="n">
        <x:f>'Route Cost Build'!B4+MAX(O5,7.5)*'Route Cost Build'!B6*(1+'Route Cost Build'!B7)+(282.481/'Route Cost Build'!B9*D5/100)*'Route Cost Build'!B10+'Route Cost Build'!B11</x:f>
        <x:v>225.7331282714286</x:v>
      </x:c>
      <x:c r="R5" s="12" t="n">
        <x:f>Q5/C5</x:f>
        <x:v>14.108320516964287</x:v>
      </x:c>
      <x:c r="S5" s="57">
        <x:v>1000</x:v>
      </x:c>
      <x:c r="T5" s="57">
        <x:v>50</x:v>
      </x:c>
      <x:c r="U5" s="58" t="n">
        <x:f>C5*T5</x:f>
        <x:v>800</x:v>
      </x:c>
      <x:c r="V5" s="4" t="str">
        <x:f>IF(U5&lt;=0.8*S5,"YES","AMBER")</x:f>
        <x:v>YES</x:v>
      </x:c>
      <x:c r="W5" s="4" t="s">
        <x:v>944</x:v>
      </x:c>
    </x:row>
    <x:row r="6" ht="16">
      <x:c r="A6" s="5" t="s">
        <x:v>30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4"/>
      <x:c r="T6" s="4"/>
      <x:c r="U6" s="4"/>
      <x:c r="V6" s="4"/>
      <x:c r="W6" s="4"/>
    </x:row>
    <x:row r="7" ht="16">
      <x:c r="A7" s="5" t="s">
        <x:v>30</x:v>
      </x:c>
      <x:c r="B7" s="76"/>
      <x:c r="C7" s="76"/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4"/>
      <x:c r="T7" s="4"/>
      <x:c r="U7" s="4"/>
      <x:c r="V7" s="4"/>
      <x:c r="W7" s="4"/>
    </x:row>
    <x:row r="8" ht="32">
      <x:c r="A8" s="3" t="s">
        <x:v>948</x:v>
      </x:c>
      <x:c r="B8" s="77" t="s">
        <x:v>949</x:v>
      </x:c>
      <x:c r="C8" s="77"/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  <x:c r="S8" s="4"/>
      <x:c r="T8" s="4"/>
      <x:c r="U8" s="4"/>
      <x:c r="V8" s="4"/>
      <x:c r="W8" s="4"/>
    </x:row>
    <x:row r="9" ht="16">
      <x:c r="A9" s="3" t="s">
        <x:v>950</x:v>
      </x:c>
      <x:c r="B9" s="77" t="s">
        <x:v>951</x:v>
      </x:c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4"/>
      <x:c r="T9" s="4"/>
      <x:c r="U9" s="4"/>
      <x:c r="V9" s="4"/>
      <x:c r="W9" s="4"/>
    </x:row>
    <x:row r="10" ht="16">
      <x:c r="A10" s="3" t="s">
        <x:v>952</x:v>
      </x:c>
      <x:c r="B10" s="77" t="s">
        <x:v>953</x:v>
      </x:c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4"/>
      <x:c r="T10" s="4"/>
      <x:c r="U10" s="4"/>
      <x:c r="V10" s="4"/>
      <x:c r="W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32">
      <x:c r="A12" s="51" t="s">
        <x:v>954</x:v>
      </x:c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</x:row>
    <x:row r="13" ht="16">
      <x:c r="A13" s="52" t="s">
        <x:v>955</x:v>
      </x:c>
      <x:c r="B13" s="77" t="s">
        <x:v>956</x:v>
      </x:c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</x:row>
    <x:row r="14" ht="16">
      <x:c r="A14" s="52" t="s">
        <x:v>957</x:v>
      </x:c>
      <x:c r="B14" s="77" t="s">
        <x:v>958</x:v>
      </x:c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</x:row>
    <x:row r="15" ht="16">
      <x:c r="A15" s="52" t="s">
        <x:v>959</x:v>
      </x:c>
      <x:c r="B15" s="77" t="s">
        <x:v>960</x:v>
      </x:c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</x:row>
  </x:sheetData>
  <x:mergeCells>
    <x:mergeCell ref="B14:W14"/>
    <x:mergeCell ref="B15:W15"/>
    <x:mergeCell ref="B7:R7"/>
    <x:mergeCell ref="B8:R8"/>
    <x:mergeCell ref="B9:R9"/>
    <x:mergeCell ref="B10:R10"/>
    <x:mergeCell ref="B13:W13"/>
  </x:mergeCells>
  <x:conditionalFormatting sqref="P2:P4">
    <x:cfRule type="expression" dxfId="7" priority="1">
      <x:formula>P2="YES"</x:formula>
    </x:cfRule>
    <x:cfRule type="expression" dxfId="6" priority="2">
      <x:formula>P2="NO"</x:formula>
    </x:cfRule>
  </x:conditionalFormatting>
  <x:conditionalFormatting sqref="P2:P5">
    <x:cfRule type="expression" dxfId="5" priority="3">
      <x:formula>P2="YES"</x:formula>
    </x:cfRule>
    <x:cfRule type="expression" dxfId="4" priority="4">
      <x:formula>P2="NO"</x:formula>
    </x:cfRule>
  </x:conditionalFormatting>
  <x:conditionalFormatting sqref="V2:V5">
    <x:cfRule type="expression" dxfId="3" priority="5">
      <x:formula>V2="YES"</x:formula>
    </x:cfRule>
    <x:cfRule type="expression" dxfId="2" priority="6">
      <x:formula>V2="AMBER"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83203125" defaultRowHeight="15"/>
  <x:cols>
    <x:col min="1" max="1" width="32" customWidth="1"/>
    <x:col min="2" max="2" width="22" customWidth="1"/>
    <x:col min="3" max="3" width="30" customWidth="1"/>
    <x:col min="4" max="4" width="54" customWidth="1"/>
    <x:col min="5" max="5" width="58" customWidth="1"/>
    <x:col min="6" max="6" width="44" customWidth="1"/>
  </x:cols>
  <x:sheetData>
    <x:row r="1" ht="16">
      <x:c r="A1" s="47" t="s">
        <x:v>961</x:v>
      </x:c>
      <x:c r="B1" s="47" t="s">
        <x:v>962</x:v>
      </x:c>
      <x:c r="C1" s="47" t="s">
        <x:v>32</x:v>
      </x:c>
      <x:c r="D1" s="47" t="s">
        <x:v>963</x:v>
      </x:c>
      <x:c r="E1" s="47" t="s">
        <x:v>964</x:v>
      </x:c>
      <x:c r="F1" s="47" t="s">
        <x:v>965</x:v>
      </x:c>
    </x:row>
    <x:row r="2" ht="32">
      <x:c r="A2" s="4" t="s">
        <x:v>966</x:v>
      </x:c>
      <x:c r="B2" s="4" t="s">
        <x:v>967</x:v>
      </x:c>
      <x:c r="C2" s="4">
        <x:v>3015</x:v>
      </x:c>
      <x:c r="D2" s="4" t="s">
        <x:v>968</x:v>
      </x:c>
      <x:c r="E2" s="7" t="s">
        <x:v>969</x:v>
      </x:c>
      <x:c r="F2" s="4" t="s">
        <x:v>970</x:v>
      </x:c>
    </x:row>
    <x:row r="3" ht="64">
      <x:c r="A3" s="4" t="s">
        <x:v>971</x:v>
      </x:c>
      <x:c r="B3" s="4" t="s">
        <x:v>972</x:v>
      </x:c>
      <x:c r="C3" s="4" t="s">
        <x:v>973</x:v>
      </x:c>
      <x:c r="D3" s="4" t="s">
        <x:v>974</x:v>
      </x:c>
      <x:c r="E3" s="7" t="s">
        <x:v>975</x:v>
      </x:c>
      <x:c r="F3" s="4" t="s">
        <x:v>976</x:v>
      </x:c>
    </x:row>
    <x:row r="4" ht="64">
      <x:c r="A4" s="4" t="s">
        <x:v>977</x:v>
      </x:c>
      <x:c r="B4" s="4" t="s">
        <x:v>972</x:v>
      </x:c>
      <x:c r="C4" s="4" t="s">
        <x:v>978</x:v>
      </x:c>
      <x:c r="D4" s="4" t="s">
        <x:v>979</x:v>
      </x:c>
      <x:c r="E4" s="7" t="s">
        <x:v>980</x:v>
      </x:c>
      <x:c r="F4" s="4" t="s">
        <x:v>981</x:v>
      </x:c>
    </x:row>
    <x:row r="5" ht="32">
      <x:c r="A5" s="4" t="s">
        <x:v>982</x:v>
      </x:c>
      <x:c r="B5" s="4" t="s">
        <x:v>983</x:v>
      </x:c>
      <x:c r="C5" s="4">
        <x:v>21</x:v>
      </x:c>
      <x:c r="D5" s="4" t="s">
        <x:v>984</x:v>
      </x:c>
      <x:c r="E5" s="7" t="s">
        <x:v>985</x:v>
      </x:c>
      <x:c r="F5" s="4" t="s">
        <x:v>986</x:v>
      </x:c>
    </x:row>
    <x:row r="6" ht="32">
      <x:c r="A6" s="4" t="s">
        <x:v>987</x:v>
      </x:c>
      <x:c r="B6" s="4" t="s">
        <x:v>983</x:v>
      </x:c>
      <x:c r="C6" s="7" t="n">
        <x:f>C5/C2</x:f>
        <x:v>0.006965174129353234</x:v>
      </x:c>
      <x:c r="D6" s="4" t="s">
        <x:v>988</x:v>
      </x:c>
      <x:c r="E6" s="7" t="s">
        <x:v>989</x:v>
      </x:c>
      <x:c r="F6" s="4" t="s">
        <x:v>990</x:v>
      </x:c>
    </x:row>
    <x:row r="7" ht="32">
      <x:c r="A7" s="4" t="s">
        <x:v>991</x:v>
      </x:c>
      <x:c r="B7" s="4" t="s">
        <x:v>992</x:v>
      </x:c>
      <x:c r="C7" s="4" t="s">
        <x:v>993</x:v>
      </x:c>
      <x:c r="D7" s="4" t="s">
        <x:v>994</x:v>
      </x:c>
      <x:c r="E7" s="4" t="s">
        <x:v>995</x:v>
      </x:c>
      <x:c r="F7" s="4" t="s">
        <x:v>996</x:v>
      </x:c>
    </x:row>
    <x:row r="8">
      <x:c r="A8" s="41"/>
      <x:c r="B8" s="41"/>
      <x:c r="C8" s="41"/>
      <x:c r="D8" s="41"/>
      <x:c r="E8" s="41"/>
      <x:c r="F8" s="41"/>
    </x:row>
    <x:row r="9">
      <x:c r="A9" s="42"/>
      <x:c r="B9" s="77"/>
      <x:c r="C9" s="77"/>
      <x:c r="D9" s="77"/>
      <x:c r="E9" s="77"/>
      <x:c r="F9" s="77"/>
    </x:row>
    <x:row r="10">
      <x:c r="A10" s="42"/>
      <x:c r="B10" s="77"/>
      <x:c r="C10" s="77"/>
      <x:c r="D10" s="77"/>
      <x:c r="E10" s="77"/>
      <x:c r="F10" s="77"/>
    </x:row>
  </x:sheetData>
  <x:mergeCells>
    <x:mergeCell ref="B9:F9"/>
    <x:mergeCell ref="B10:F1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6" customWidth="1"/>
    <x:col min="3" max="3" width="40" customWidth="1"/>
    <x:col min="4" max="4" width="38" customWidth="1"/>
    <x:col min="5" max="5" width="32" customWidth="1"/>
    <x:col min="6" max="6" width="46" customWidth="1"/>
    <x:col min="7" max="7" width="64" customWidth="1"/>
  </x:cols>
  <x:sheetData>
    <x:row r="1" ht="16">
      <x:c r="A1" s="39" t="s">
        <x:v>997</x:v>
      </x:c>
      <x:c r="B1" s="39" t="s">
        <x:v>998</x:v>
      </x:c>
      <x:c r="C1" s="39" t="s">
        <x:v>999</x:v>
      </x:c>
      <x:c r="D1" s="39" t="s">
        <x:v>1000</x:v>
      </x:c>
      <x:c r="E1" s="39" t="s">
        <x:v>1001</x:v>
      </x:c>
      <x:c r="F1" s="39" t="s">
        <x:v>1002</x:v>
      </x:c>
      <x:c r="G1" s="39" t="s">
        <x:v>1003</x:v>
      </x:c>
    </x:row>
    <x:row r="2" ht="32">
      <x:c r="A2" s="4" t="s">
        <x:v>1004</x:v>
      </x:c>
      <x:c r="B2" s="4" t="s">
        <x:v>1005</x:v>
      </x:c>
      <x:c r="C2" s="4" t="s">
        <x:v>1006</x:v>
      </x:c>
      <x:c r="D2" s="4" t="s">
        <x:v>1007</x:v>
      </x:c>
      <x:c r="E2" s="4" t="s">
        <x:v>1005</x:v>
      </x:c>
      <x:c r="F2" s="4" t="s">
        <x:v>1008</x:v>
      </x:c>
      <x:c r="G2" s="4" t="s">
        <x:v>883</x:v>
      </x:c>
    </x:row>
    <x:row r="3" ht="32">
      <x:c r="A3" s="4" t="s">
        <x:v>1009</x:v>
      </x:c>
      <x:c r="B3" s="4" t="s">
        <x:v>1010</x:v>
      </x:c>
      <x:c r="C3" s="4" t="s">
        <x:v>1011</x:v>
      </x:c>
      <x:c r="D3" s="4" t="s">
        <x:v>1012</x:v>
      </x:c>
      <x:c r="E3" s="4" t="s">
        <x:v>1013</x:v>
      </x:c>
      <x:c r="F3" s="4" t="s">
        <x:v>1014</x:v>
      </x:c>
      <x:c r="G3" s="4" t="s">
        <x:v>887</x:v>
      </x:c>
    </x:row>
    <x:row r="4" ht="32">
      <x:c r="A4" s="4" t="s">
        <x:v>1015</x:v>
      </x:c>
      <x:c r="B4" s="4" t="s">
        <x:v>1016</x:v>
      </x:c>
      <x:c r="C4" s="4" t="s">
        <x:v>1017</x:v>
      </x:c>
      <x:c r="D4" s="4" t="s">
        <x:v>1018</x:v>
      </x:c>
      <x:c r="E4" s="4" t="s">
        <x:v>1019</x:v>
      </x:c>
      <x:c r="F4" s="4" t="s">
        <x:v>1020</x:v>
      </x:c>
      <x:c r="G4" s="4" t="s">
        <x:v>136</x:v>
      </x:c>
    </x:row>
    <x:row r="5" ht="32">
      <x:c r="A5" s="4" t="s">
        <x:v>1021</x:v>
      </x:c>
      <x:c r="B5" s="4" t="s">
        <x:v>1022</x:v>
      </x:c>
      <x:c r="C5" s="4" t="s">
        <x:v>1023</x:v>
      </x:c>
      <x:c r="D5" s="4" t="s">
        <x:v>1024</x:v>
      </x:c>
      <x:c r="E5" s="4" t="s">
        <x:v>1025</x:v>
      </x:c>
      <x:c r="F5" s="4" t="s">
        <x:v>1026</x:v>
      </x:c>
      <x:c r="G5" s="4" t="s">
        <x:v>1027</x:v>
      </x:c>
    </x:row>
    <x:row r="6" ht="32">
      <x:c r="A6" s="4" t="s">
        <x:v>1028</x:v>
      </x:c>
      <x:c r="B6" s="4" t="s">
        <x:v>1029</x:v>
      </x:c>
      <x:c r="C6" s="4" t="s">
        <x:v>1030</x:v>
      </x:c>
      <x:c r="D6" s="4" t="s">
        <x:v>1031</x:v>
      </x:c>
      <x:c r="E6" s="4" t="s">
        <x:v>1032</x:v>
      </x:c>
      <x:c r="F6" s="4" t="s">
        <x:v>1033</x:v>
      </x:c>
      <x:c r="G6" s="4" t="s">
        <x:v>887</x:v>
      </x:c>
    </x:row>
    <x:row r="7" ht="32">
      <x:c r="A7" s="4" t="s">
        <x:v>1034</x:v>
      </x:c>
      <x:c r="B7" s="4" t="s">
        <x:v>1035</x:v>
      </x:c>
      <x:c r="C7" s="4" t="s">
        <x:v>1036</x:v>
      </x:c>
      <x:c r="D7" s="4" t="s">
        <x:v>1037</x:v>
      </x:c>
      <x:c r="E7" s="4" t="s">
        <x:v>1038</x:v>
      </x:c>
      <x:c r="F7" s="4" t="s">
        <x:v>1039</x:v>
      </x:c>
      <x:c r="G7" s="4" t="s">
        <x:v>1040</x:v>
      </x:c>
    </x:row>
    <x:row r="8" ht="32">
      <x:c r="A8" s="4" t="s">
        <x:v>1041</x:v>
      </x:c>
      <x:c r="B8" s="4" t="s">
        <x:v>1042</x:v>
      </x:c>
      <x:c r="C8" s="4" t="s">
        <x:v>1043</x:v>
      </x:c>
      <x:c r="D8" s="4" t="s">
        <x:v>1044</x:v>
      </x:c>
      <x:c r="E8" s="4" t="s">
        <x:v>1045</x:v>
      </x:c>
      <x:c r="F8" s="4" t="s">
        <x:v>1046</x:v>
      </x:c>
      <x:c r="G8" s="4" t="s">
        <x:v>1047</x:v>
      </x:c>
    </x:row>
  </x:sheetData>
  <x:pageMargins left="0.7" right="0.7" top="0.75" bottom="0.75" header="0.3" footer="0.3"/>
  <x:tableParts count="1">
    <x:tablePart xmlns:r="http://schemas.openxmlformats.org/officeDocument/2006/relationships" r:id="Rc46ab6dbcaea411b"/>
  </x:tableParts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36" customWidth="1"/>
    <x:col min="2" max="2" width="45" customWidth="1"/>
    <x:col min="3" max="3" width="26" customWidth="1"/>
    <x:col min="4" max="4" width="20" customWidth="1"/>
    <x:col min="5" max="5" width="56" customWidth="1"/>
    <x:col min="6" max="6" width="28" customWidth="1"/>
  </x:cols>
  <x:sheetData>
    <x:row r="1" ht="16">
      <x:c r="A1" s="39" t="s">
        <x:v>1048</x:v>
      </x:c>
      <x:c r="B1" s="39" t="s">
        <x:v>1049</x:v>
      </x:c>
      <x:c r="C1" s="39" t="s">
        <x:v>1050</x:v>
      </x:c>
      <x:c r="D1" s="39" t="s">
        <x:v>529</x:v>
      </x:c>
      <x:c r="E1" s="39" t="s">
        <x:v>327</x:v>
      </x:c>
      <x:c r="F1" s="4"/>
    </x:row>
    <x:row r="2" ht="48">
      <x:c r="A2" s="4" t="s">
        <x:v>1051</x:v>
      </x:c>
      <x:c r="B2" s="4" t="s">
        <x:v>1052</x:v>
      </x:c>
      <x:c r="C2" s="4" t="s">
        <x:v>1053</x:v>
      </x:c>
      <x:c r="D2" s="4" t="s">
        <x:v>546</x:v>
      </x:c>
      <x:c r="E2" s="4" t="s">
        <x:v>1054</x:v>
      </x:c>
      <x:c r="F2" s="4"/>
    </x:row>
    <x:row r="3" ht="48">
      <x:c r="A3" s="4" t="s">
        <x:v>1055</x:v>
      </x:c>
      <x:c r="B3" s="4" t="s">
        <x:v>1056</x:v>
      </x:c>
      <x:c r="C3" s="4" t="s">
        <x:v>1057</x:v>
      </x:c>
      <x:c r="D3" s="4" t="s">
        <x:v>1058</x:v>
      </x:c>
      <x:c r="E3" s="4" t="s">
        <x:v>1059</x:v>
      </x:c>
      <x:c r="F3" s="4"/>
    </x:row>
    <x:row r="4" ht="48">
      <x:c r="A4" s="4" t="s">
        <x:v>536</x:v>
      </x:c>
      <x:c r="B4" s="4" t="s">
        <x:v>1060</x:v>
      </x:c>
      <x:c r="C4" s="4" t="s">
        <x:v>1061</x:v>
      </x:c>
      <x:c r="D4" s="4" t="s">
        <x:v>540</x:v>
      </x:c>
      <x:c r="E4" s="4" t="s">
        <x:v>1062</x:v>
      </x:c>
      <x:c r="F4" s="4"/>
    </x:row>
    <x:row r="5">
      <x:c r="A5" s="4"/>
      <x:c r="B5" s="4"/>
      <x:c r="C5" s="4"/>
      <x:c r="D5" s="4"/>
      <x:c r="E5" s="4"/>
      <x:c r="F5" s="4"/>
    </x:row>
    <x:row r="6" ht="16">
      <x:c r="A6" s="41" t="s">
        <x:v>1063</x:v>
      </x:c>
      <x:c r="B6" s="41" t="s">
        <x:v>1064</x:v>
      </x:c>
      <x:c r="C6" s="41" t="s">
        <x:v>1065</x:v>
      </x:c>
      <x:c r="D6" s="41" t="s">
        <x:v>570</x:v>
      </x:c>
      <x:c r="E6" s="41" t="s">
        <x:v>1066</x:v>
      </x:c>
      <x:c r="F6" s="41" t="s">
        <x:v>240</x:v>
      </x:c>
    </x:row>
    <x:row r="7" ht="16">
      <x:c r="A7" s="4" t="s">
        <x:v>1067</x:v>
      </x:c>
      <x:c r="B7" s="4">
        <x:v>100</x:v>
      </x:c>
      <x:c r="C7" s="7">
        <x:v>0.6</x:v>
      </x:c>
      <x:c r="D7" s="4" t="n">
        <x:f>B8</x:f>
        <x:v>60</x:v>
      </x:c>
      <x:c r="E7" s="4" t="s">
        <x:v>1068</x:v>
      </x:c>
      <x:c r="F7" s="4" t="s">
        <x:v>244</x:v>
      </x:c>
    </x:row>
    <x:row r="8" ht="16">
      <x:c r="A8" s="4" t="s">
        <x:v>1069</x:v>
      </x:c>
      <x:c r="B8" s="4" t="n">
        <x:f>B7*C7</x:f>
        <x:v>60</x:v>
      </x:c>
      <x:c r="C8" s="7">
        <x:v>0.6</x:v>
      </x:c>
      <x:c r="D8" s="4" t="n">
        <x:f>B9</x:f>
        <x:v>36</x:v>
      </x:c>
      <x:c r="E8" s="4" t="s">
        <x:v>1070</x:v>
      </x:c>
      <x:c r="F8" s="4" t="s">
        <x:v>244</x:v>
      </x:c>
    </x:row>
    <x:row r="9" ht="16">
      <x:c r="A9" s="4" t="s">
        <x:v>1071</x:v>
      </x:c>
      <x:c r="B9" s="4" t="n">
        <x:f>B8*C8</x:f>
        <x:v>36</x:v>
      </x:c>
      <x:c r="C9" s="7">
        <x:v>0.75</x:v>
      </x:c>
      <x:c r="D9" s="4" t="n">
        <x:f>B10</x:f>
        <x:v>27</x:v>
      </x:c>
      <x:c r="E9" s="4" t="s">
        <x:v>1072</x:v>
      </x:c>
      <x:c r="F9" s="4" t="s">
        <x:v>244</x:v>
      </x:c>
    </x:row>
    <x:row r="10" ht="32">
      <x:c r="A10" s="4" t="s">
        <x:v>1073</x:v>
      </x:c>
      <x:c r="B10" s="4" t="n">
        <x:f>B9*C9</x:f>
        <x:v>27</x:v>
      </x:c>
      <x:c r="C10" s="7">
        <x:v>0.67</x:v>
      </x:c>
      <x:c r="D10" s="4" t="n">
        <x:f>B10*C10</x:f>
        <x:v>18.09</x:v>
      </x:c>
      <x:c r="E10" s="4" t="s">
        <x:v>1074</x:v>
      </x:c>
      <x:c r="F10" s="4" t="s">
        <x:v>1075</x:v>
      </x:c>
    </x:row>
    <x:row r="11">
      <x:c r="A11" s="4"/>
      <x:c r="B11" s="4"/>
      <x:c r="C11" s="4"/>
      <x:c r="D11" s="4"/>
      <x:c r="E11" s="4"/>
      <x:c r="F11" s="4"/>
    </x:row>
    <x:row r="12" ht="16">
      <x:c r="A12" s="41" t="s">
        <x:v>324</x:v>
      </x:c>
      <x:c r="B12" s="41"/>
      <x:c r="C12" s="41"/>
      <x:c r="D12" s="41"/>
      <x:c r="E12" s="41"/>
      <x:c r="F12" s="41"/>
    </x:row>
    <x:row r="13">
      <x:c r="A13" s="77" t="s">
        <x:v>1076</x:v>
      </x:c>
      <x:c r="B13" s="77"/>
      <x:c r="C13" s="77"/>
      <x:c r="D13" s="77"/>
      <x:c r="E13" s="77"/>
      <x:c r="F13" s="77"/>
    </x:row>
  </x:sheetData>
  <x:mergeCells>
    <x:mergeCell ref="A13:F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9" customWidth="1"/>
    <x:col min="2" max="2" width="14" customWidth="1"/>
    <x:col min="3" max="3" width="17" customWidth="1"/>
    <x:col min="4" max="4" width="18" customWidth="1"/>
    <x:col min="5" max="5" width="15" customWidth="1"/>
    <x:col min="6" max="7" width="18" customWidth="1"/>
    <x:col min="8" max="8" width="16" customWidth="1"/>
    <x:col min="9" max="10" width="15" customWidth="1"/>
    <x:col min="11" max="11" width="17" customWidth="1"/>
    <x:col min="12" max="12" width="16" customWidth="1"/>
    <x:col min="13" max="13" width="14" customWidth="1"/>
    <x:col min="14" max="14" width="16" customWidth="1"/>
    <x:col min="15" max="15" width="18" customWidth="1"/>
    <x:col min="17" max="17" width="12" customWidth="1"/>
    <x:col min="18" max="20" width="16" customWidth="1"/>
    <x:col min="21" max="22" width="14" customWidth="1"/>
    <x:col min="23" max="23" width="15" customWidth="1"/>
    <x:col min="24" max="24" width="14" customWidth="1"/>
    <x:col min="25" max="25" width="18" customWidth="1"/>
    <x:col min="26" max="26" width="15" customWidth="1"/>
    <x:col min="27" max="27" width="42" customWidth="1"/>
  </x:cols>
  <x:sheetData>
    <x:row r="1" ht="32">
      <x:c r="A1" s="39" t="s">
        <x:v>1077</x:v>
      </x:c>
      <x:c r="B1" s="39" t="s">
        <x:v>11</x:v>
      </x:c>
      <x:c r="C1" s="39" t="s">
        <x:v>1078</x:v>
      </x:c>
      <x:c r="D1" s="39" t="s">
        <x:v>1079</x:v>
      </x:c>
      <x:c r="E1" s="39" t="s">
        <x:v>1080</x:v>
      </x:c>
      <x:c r="F1" s="39" t="s">
        <x:v>316</x:v>
      </x:c>
      <x:c r="G1" s="39" t="s">
        <x:v>317</x:v>
      </x:c>
      <x:c r="H1" s="39" t="s">
        <x:v>318</x:v>
      </x:c>
      <x:c r="I1" s="39" t="s">
        <x:v>319</x:v>
      </x:c>
      <x:c r="J1" s="39" t="s">
        <x:v>320</x:v>
      </x:c>
      <x:c r="K1" s="39" t="s">
        <x:v>1081</x:v>
      </x:c>
      <x:c r="L1" s="39" t="s">
        <x:v>1082</x:v>
      </x:c>
      <x:c r="M1" s="39" t="s">
        <x:v>1083</x:v>
      </x:c>
      <x:c r="N1" s="39" t="s">
        <x:v>1084</x:v>
      </x:c>
      <x:c r="O1" s="39" t="s">
        <x:v>1085</x:v>
      </x:c>
      <x:c r="P1" s="4"/>
      <x:c r="Q1" s="47" t="s">
        <x:v>1086</x:v>
      </x:c>
      <x:c r="R1" s="47" t="s">
        <x:v>1087</x:v>
      </x:c>
      <x:c r="S1" s="47" t="s">
        <x:v>1080</x:v>
      </x:c>
      <x:c r="T1" s="47" t="s">
        <x:v>1088</x:v>
      </x:c>
      <x:c r="U1" s="47" t="s">
        <x:v>1089</x:v>
      </x:c>
      <x:c r="V1" s="47" t="s">
        <x:v>1090</x:v>
      </x:c>
      <x:c r="W1" s="47" t="s">
        <x:v>487</x:v>
      </x:c>
      <x:c r="X1" s="47" t="s">
        <x:v>1091</x:v>
      </x:c>
      <x:c r="Y1" s="47" t="s">
        <x:v>1092</x:v>
      </x:c>
      <x:c r="Z1" s="47" t="s">
        <x:v>26</x:v>
      </x:c>
      <x:c r="AA1" s="47" t="s">
        <x:v>30</x:v>
      </x:c>
    </x:row>
    <x:row r="2" ht="32">
      <x:c r="A2" s="58">
        <x:v>1</x:v>
      </x:c>
      <x:c r="B2" s="57">
        <x:v>8</x:v>
      </x:c>
      <x:c r="C2" s="57">
        <x:v>2</x:v>
      </x:c>
      <x:c r="D2" s="57">
        <x:v>14</x:v>
      </x:c>
      <x:c r="E2" s="58" t="n">
        <x:f t="shared" ref="E2:E13" si="0">ROUNDUP(B2*C2/D2,0)</x:f>
        <x:v>2</x:v>
      </x:c>
      <x:c r="F2" s="12" t="n">
        <x:f>B2*Assumptions!C5</x:f>
        <x:v>280</x:v>
      </x:c>
      <x:c r="G2" s="12" t="n">
        <x:f>B2*C2*(Assumptions!C15/12)*Assumptions!C6</x:f>
        <x:v>1733.3333333333333</x:v>
      </x:c>
      <x:c r="H2" s="12" t="n">
        <x:f t="shared" ref="H2:H13" si="1">SUM(F2:G2)</x:f>
        <x:v>2013.3333333333333</x:v>
      </x:c>
      <x:c r="I2" s="12" t="n">
        <x:f>B2*C2*(Assumptions!C15/12)*Assumptions!C7</x:f>
        <x:v>208</x:v>
      </x:c>
      <x:c r="J2" s="12" t="n">
        <x:f>E2*(Assumptions!C15/12)*Assumptions!C16</x:f>
        <x:v>2383.333333333333</x:v>
      </x:c>
      <x:c r="K2" s="12" t="n">
        <x:f>IF(B2&lt;=18,10,IF(B2&lt;=24,15,20))*(Assumptions!C15/12)*Assumptions!C9*(1+Assumptions!C10)</x:f>
        <x:v>633.3816666666665</x:v>
      </x:c>
      <x:c r="L2" s="12" t="n">
        <x:f>SUM(Assumptions!C11:C14)</x:f>
        <x:v>475</x:v>
      </x:c>
      <x:c r="M2" s="10">
        <x:v>5000</x:v>
      </x:c>
      <x:c r="N2" s="12" t="n">
        <x:f t="shared" ref="N2:N13" si="2">H2-SUM(I2:M2)</x:f>
        <x:v>-6686.381666666667</x:v>
      </x:c>
      <x:c r="O2" s="12" t="n">
        <x:f>N2</x:f>
        <x:v>-6686.381666666667</x:v>
      </x:c>
      <x:c r="P2" s="4"/>
      <x:c r="Q2" s="4" t="s">
        <x:v>1093</x:v>
      </x:c>
      <x:c r="R2" s="4" t="n">
        <x:f>AVERAGE(B2:B13)</x:f>
        <x:v>18</x:v>
      </x:c>
      <x:c r="S2" s="4" t="n">
        <x:f>AVERAGE(E2:E13)</x:f>
        <x:v>3</x:v>
      </x:c>
      <x:c r="T2" s="6" t="n">
        <x:f>SUM(H2:H13)</x:f>
        <x:v>54360</x:v>
      </x:c>
      <x:c r="U2" s="6" t="n">
        <x:f>SUM(I2:I13)</x:f>
        <x:v>5616</x:v>
      </x:c>
      <x:c r="V2" s="6" t="n">
        <x:f>SUM(J2:J13)</x:f>
        <x:v>42899.99999999999</x:v>
      </x:c>
      <x:c r="W2" s="6" t="n">
        <x:f>SUM(K2:K13)</x:f>
        <x:v>9817.415833333333</x:v>
      </x:c>
      <x:c r="X2" s="6" t="n">
        <x:f>SUM(L2:L13)</x:f>
        <x:v>5700</x:v>
      </x:c>
      <x:c r="Y2" s="6" t="n">
        <x:f>T2-SUM(U2:X2)</x:f>
        <x:v>-9673.415833333325</x:v>
      </x:c>
      <x:c r="Z2" s="7" t="n">
        <x:f>IF(T2=0,0,Y2/T2)</x:f>
        <x:v>-0.1779509903115034</x:v>
      </x:c>
      <x:c r="AA2" s="4" t="s">
        <x:v>1094</x:v>
      </x:c>
    </x:row>
    <x:row r="3" ht="48">
      <x:c r="A3" s="58">
        <x:v>2</x:v>
      </x:c>
      <x:c r="B3" s="57">
        <x:v>10</x:v>
      </x:c>
      <x:c r="C3" s="57">
        <x:v>2</x:v>
      </x:c>
      <x:c r="D3" s="57">
        <x:v>14</x:v>
      </x:c>
      <x:c r="E3" s="58">
        <x:f t="shared" si="0"/>
        <x:v>2</x:v>
      </x:c>
      <x:c r="F3" s="12" t="n">
        <x:f>B3*Assumptions!C5</x:f>
        <x:v>350</x:v>
      </x:c>
      <x:c r="G3" s="12" t="n">
        <x:f>B3*C3*(Assumptions!C15/12)*Assumptions!C6</x:f>
        <x:v>2166.6666666666665</x:v>
      </x:c>
      <x:c r="H3" s="12">
        <x:f t="shared" si="1"/>
        <x:v>2516.6666666666665</x:v>
      </x:c>
      <x:c r="I3" s="12" t="n">
        <x:f>B3*C3*(Assumptions!C15/12)*Assumptions!C7</x:f>
        <x:v>260</x:v>
      </x:c>
      <x:c r="J3" s="12" t="n">
        <x:f>E3*(Assumptions!C15/12)*Assumptions!C16</x:f>
        <x:v>2383.333333333333</x:v>
      </x:c>
      <x:c r="K3" s="12" t="n">
        <x:f>IF(B3&lt;=18,10,IF(B3&lt;=24,15,20))*(Assumptions!C15/12)*Assumptions!C9*(1+Assumptions!C10)</x:f>
        <x:v>633.3816666666665</x:v>
      </x:c>
      <x:c r="L3" s="12" t="n">
        <x:f>SUM(Assumptions!C11:C14)</x:f>
        <x:v>475</x:v>
      </x:c>
      <x:c r="M3" s="10">
        <x:v>0</x:v>
      </x:c>
      <x:c r="N3" s="12">
        <x:f t="shared" si="2"/>
        <x:v>-1235.0483333333332</x:v>
      </x:c>
      <x:c r="O3" s="12" t="n">
        <x:f t="shared" ref="O3:O13" si="3">O2+N3</x:f>
        <x:v>-7921.43</x:v>
      </x:c>
      <x:c r="P3" s="4"/>
      <x:c r="Q3" s="4" t="s">
        <x:v>1095</x:v>
      </x:c>
      <x:c r="R3" s="4">
        <x:v>34</x:v>
      </x:c>
      <x:c r="S3" s="4" t="n">
        <x:f>ROUNDUP(R3*Assumptions!C3/14,0)</x:f>
        <x:v>5</x:v>
      </x:c>
      <x:c r="T3" s="6" t="n">
        <x:f>R3*(Assumptions!C5+Assumptions!C6*Assumptions!C3*Assumptions!C15)</x:f>
        <x:v>89590</x:v>
      </x:c>
      <x:c r="U3" s="6" t="n">
        <x:f>R3*Assumptions!C7*Assumptions!C3*Assumptions!C15</x:f>
        <x:v>10608</x:v>
      </x:c>
      <x:c r="V3" s="6" t="n">
        <x:f>S3*Assumptions!C16*Assumptions!C15</x:f>
        <x:v>71500</x:v>
      </x:c>
      <x:c r="W3" s="6" t="n">
        <x:f>20*Assumptions!C15*Assumptions!C9*(1+Assumptions!C10)</x:f>
        <x:v>15201.16</x:v>
      </x:c>
      <x:c r="X3" s="6" t="n">
        <x:f>SUM(Assumptions!C11:C14)*12</x:f>
        <x:v>5700</x:v>
      </x:c>
      <x:c r="Y3" s="6" t="n">
        <x:f>T3-SUM(U3:X3)</x:f>
        <x:v>-13419.160000000003</x:v>
      </x:c>
      <x:c r="Z3" s="7" t="n">
        <x:f>IF(T3=0,0,Y3/T3)</x:f>
        <x:v>-0.1497841276928229</x:v>
      </x:c>
      <x:c r="AA3" s="4" t="s">
        <x:v>1096</x:v>
      </x:c>
    </x:row>
    <x:row r="4" ht="48">
      <x:c r="A4" s="58">
        <x:v>3</x:v>
      </x:c>
      <x:c r="B4" s="57">
        <x:v>12</x:v>
      </x:c>
      <x:c r="C4" s="57">
        <x:v>2</x:v>
      </x:c>
      <x:c r="D4" s="57">
        <x:v>14</x:v>
      </x:c>
      <x:c r="E4" s="58">
        <x:f t="shared" si="0"/>
        <x:v>2</x:v>
      </x:c>
      <x:c r="F4" s="12" t="n">
        <x:f>B4*Assumptions!C5</x:f>
        <x:v>420</x:v>
      </x:c>
      <x:c r="G4" s="12" t="n">
        <x:f>B4*C4*(Assumptions!C15/12)*Assumptions!C6</x:f>
        <x:v>2600</x:v>
      </x:c>
      <x:c r="H4" s="12">
        <x:f t="shared" si="1"/>
        <x:v>3020</x:v>
      </x:c>
      <x:c r="I4" s="12" t="n">
        <x:f>B4*C4*(Assumptions!C15/12)*Assumptions!C7</x:f>
        <x:v>312</x:v>
      </x:c>
      <x:c r="J4" s="12" t="n">
        <x:f>E4*(Assumptions!C15/12)*Assumptions!C16</x:f>
        <x:v>2383.333333333333</x:v>
      </x:c>
      <x:c r="K4" s="12" t="n">
        <x:f>IF(B4&lt;=18,10,IF(B4&lt;=24,15,20))*(Assumptions!C15/12)*Assumptions!C9*(1+Assumptions!C10)</x:f>
        <x:v>633.3816666666665</x:v>
      </x:c>
      <x:c r="L4" s="12" t="n">
        <x:f>SUM(Assumptions!C11:C14)</x:f>
        <x:v>475</x:v>
      </x:c>
      <x:c r="M4" s="10">
        <x:v>0</x:v>
      </x:c>
      <x:c r="N4" s="12">
        <x:f t="shared" si="2"/>
        <x:v>-783.71499999999969</x:v>
      </x:c>
      <x:c r="O4" s="12">
        <x:f t="shared" si="3"/>
        <x:v>-8705.1450000000004</x:v>
      </x:c>
      <x:c r="P4" s="4"/>
      <x:c r="Q4" s="4" t="s">
        <x:v>1097</x:v>
      </x:c>
      <x:c r="R4" s="4">
        <x:v>42</x:v>
      </x:c>
      <x:c r="S4" s="4" t="n">
        <x:f>ROUNDUP(R4*Assumptions!C3/14,0)</x:f>
        <x:v>6</x:v>
      </x:c>
      <x:c r="T4" s="6" t="n">
        <x:f>R4*(Assumptions!C5+Assumptions!C6*Assumptions!C3*Assumptions!C15)</x:f>
        <x:v>110670</x:v>
      </x:c>
      <x:c r="U4" s="6" t="n">
        <x:f>R4*Assumptions!C7*Assumptions!C3*Assumptions!C15</x:f>
        <x:v>13104</x:v>
      </x:c>
      <x:c r="V4" s="6" t="n">
        <x:f>S4*Assumptions!C16*Assumptions!C15</x:f>
        <x:v>85800</x:v>
      </x:c>
      <x:c r="W4" s="6" t="n">
        <x:f>25*Assumptions!C15*Assumptions!C9*(1+Assumptions!C10)</x:f>
        <x:v>19001.449999999997</x:v>
      </x:c>
      <x:c r="X4" s="6" t="n">
        <x:f>SUM(Assumptions!C11:C14)*12</x:f>
        <x:v>5700</x:v>
      </x:c>
      <x:c r="Y4" s="6" t="n">
        <x:f>T4-SUM(U4:X4)</x:f>
        <x:v>-12935.449999999997</x:v>
      </x:c>
      <x:c r="Z4" s="7" t="n">
        <x:f>IF(T4=0,0,Y4/T4)</x:f>
        <x:v>-0.11688307581096952</x:v>
      </x:c>
      <x:c r="AA4" s="4" t="s">
        <x:v>1098</x:v>
      </x:c>
    </x:row>
    <x:row r="5">
      <x:c r="A5" s="58">
        <x:v>4</x:v>
      </x:c>
      <x:c r="B5" s="57">
        <x:v>14</x:v>
      </x:c>
      <x:c r="C5" s="57">
        <x:v>2</x:v>
      </x:c>
      <x:c r="D5" s="57">
        <x:v>14</x:v>
      </x:c>
      <x:c r="E5" s="58">
        <x:f t="shared" si="0"/>
        <x:v>2</x:v>
      </x:c>
      <x:c r="F5" s="12" t="n">
        <x:f>B5*Assumptions!C5</x:f>
        <x:v>490</x:v>
      </x:c>
      <x:c r="G5" s="12" t="n">
        <x:f>B5*C5*(Assumptions!C15/12)*Assumptions!C6</x:f>
        <x:v>3033.333333333333</x:v>
      </x:c>
      <x:c r="H5" s="12">
        <x:f t="shared" si="1"/>
        <x:v>3523.333333333333</x:v>
      </x:c>
      <x:c r="I5" s="12" t="n">
        <x:f>B5*C5*(Assumptions!C15/12)*Assumptions!C7</x:f>
        <x:v>364</x:v>
      </x:c>
      <x:c r="J5" s="12" t="n">
        <x:f>E5*(Assumptions!C15/12)*Assumptions!C16</x:f>
        <x:v>2383.333333333333</x:v>
      </x:c>
      <x:c r="K5" s="12" t="n">
        <x:f>IF(B5&lt;=18,10,IF(B5&lt;=24,15,20))*(Assumptions!C15/12)*Assumptions!C9*(1+Assumptions!C10)</x:f>
        <x:v>633.3816666666665</x:v>
      </x:c>
      <x:c r="L5" s="12" t="n">
        <x:f>SUM(Assumptions!C11:C14)</x:f>
        <x:v>475</x:v>
      </x:c>
      <x:c r="M5" s="10">
        <x:v>0</x:v>
      </x:c>
      <x:c r="N5" s="12">
        <x:f t="shared" si="2"/>
        <x:v>-332.38166666666666</x:v>
      </x:c>
      <x:c r="O5" s="12">
        <x:f t="shared" si="3"/>
        <x:v>-9037.5266666666666</x:v>
      </x:c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>
      <x:c r="A6" s="58">
        <x:v>5</x:v>
      </x:c>
      <x:c r="B6" s="57">
        <x:v>16</x:v>
      </x:c>
      <x:c r="C6" s="57">
        <x:v>2</x:v>
      </x:c>
      <x:c r="D6" s="57">
        <x:v>14</x:v>
      </x:c>
      <x:c r="E6" s="58">
        <x:f t="shared" si="0"/>
        <x:v>3</x:v>
      </x:c>
      <x:c r="F6" s="12" t="n">
        <x:f>B6*Assumptions!C5</x:f>
        <x:v>560</x:v>
      </x:c>
      <x:c r="G6" s="12" t="n">
        <x:f>B6*C6*(Assumptions!C15/12)*Assumptions!C6</x:f>
        <x:v>3466.6666666666665</x:v>
      </x:c>
      <x:c r="H6" s="12">
        <x:f t="shared" si="1"/>
        <x:v>4026.6666666666665</x:v>
      </x:c>
      <x:c r="I6" s="12" t="n">
        <x:f>B6*C6*(Assumptions!C15/12)*Assumptions!C7</x:f>
        <x:v>416</x:v>
      </x:c>
      <x:c r="J6" s="12" t="n">
        <x:f>E6*(Assumptions!C15/12)*Assumptions!C16</x:f>
        <x:v>3575</x:v>
      </x:c>
      <x:c r="K6" s="12" t="n">
        <x:f>IF(B6&lt;=18,10,IF(B6&lt;=24,15,20))*(Assumptions!C15/12)*Assumptions!C9*(1+Assumptions!C10)</x:f>
        <x:v>633.3816666666665</x:v>
      </x:c>
      <x:c r="L6" s="12" t="n">
        <x:f>SUM(Assumptions!C11:C14)</x:f>
        <x:v>475</x:v>
      </x:c>
      <x:c r="M6" s="10">
        <x:v>0</x:v>
      </x:c>
      <x:c r="N6" s="12">
        <x:f t="shared" si="2"/>
        <x:v>-1072.7149999999997</x:v>
      </x:c>
      <x:c r="O6" s="12">
        <x:f t="shared" si="3"/>
        <x:v>-10110.241666666667</x:v>
      </x:c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</x:row>
    <x:row r="7">
      <x:c r="A7" s="58">
        <x:v>6</x:v>
      </x:c>
      <x:c r="B7" s="57">
        <x:v>18</x:v>
      </x:c>
      <x:c r="C7" s="57">
        <x:v>2</x:v>
      </x:c>
      <x:c r="D7" s="57">
        <x:v>14</x:v>
      </x:c>
      <x:c r="E7" s="58">
        <x:f t="shared" si="0"/>
        <x:v>3</x:v>
      </x:c>
      <x:c r="F7" s="12" t="n">
        <x:f>B7*Assumptions!C5</x:f>
        <x:v>630</x:v>
      </x:c>
      <x:c r="G7" s="12" t="n">
        <x:f>B7*C7*(Assumptions!C15/12)*Assumptions!C6</x:f>
        <x:v>3900</x:v>
      </x:c>
      <x:c r="H7" s="12">
        <x:f t="shared" si="1"/>
        <x:v>4530</x:v>
      </x:c>
      <x:c r="I7" s="12" t="n">
        <x:f>B7*C7*(Assumptions!C15/12)*Assumptions!C7</x:f>
        <x:v>468</x:v>
      </x:c>
      <x:c r="J7" s="12" t="n">
        <x:f>E7*(Assumptions!C15/12)*Assumptions!C16</x:f>
        <x:v>3575</x:v>
      </x:c>
      <x:c r="K7" s="12" t="n">
        <x:f>IF(B7&lt;=18,10,IF(B7&lt;=24,15,20))*(Assumptions!C15/12)*Assumptions!C9*(1+Assumptions!C10)</x:f>
        <x:v>633.3816666666665</x:v>
      </x:c>
      <x:c r="L7" s="12" t="n">
        <x:f>SUM(Assumptions!C11:C14)</x:f>
        <x:v>475</x:v>
      </x:c>
      <x:c r="M7" s="10">
        <x:v>0</x:v>
      </x:c>
      <x:c r="N7" s="12">
        <x:f t="shared" si="2"/>
        <x:v>-621.38166666666621</x:v>
      </x:c>
      <x:c r="O7" s="12">
        <x:f t="shared" si="3"/>
        <x:v>-10731.623333333333</x:v>
      </x:c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>
      <x:c r="A8" s="58">
        <x:v>7</x:v>
      </x:c>
      <x:c r="B8" s="57">
        <x:v>18</x:v>
      </x:c>
      <x:c r="C8" s="57">
        <x:v>2</x:v>
      </x:c>
      <x:c r="D8" s="57">
        <x:v>14</x:v>
      </x:c>
      <x:c r="E8" s="58">
        <x:f t="shared" si="0"/>
        <x:v>3</x:v>
      </x:c>
      <x:c r="F8" s="12" t="n">
        <x:f>B8*Assumptions!C5</x:f>
        <x:v>630</x:v>
      </x:c>
      <x:c r="G8" s="12" t="n">
        <x:f>B8*C8*(Assumptions!C15/12)*Assumptions!C6</x:f>
        <x:v>3900</x:v>
      </x:c>
      <x:c r="H8" s="12">
        <x:f t="shared" si="1"/>
        <x:v>4530</x:v>
      </x:c>
      <x:c r="I8" s="12" t="n">
        <x:f>B8*C8*(Assumptions!C15/12)*Assumptions!C7</x:f>
        <x:v>468</x:v>
      </x:c>
      <x:c r="J8" s="12" t="n">
        <x:f>E8*(Assumptions!C15/12)*Assumptions!C16</x:f>
        <x:v>3575</x:v>
      </x:c>
      <x:c r="K8" s="12" t="n">
        <x:f>IF(B8&lt;=18,10,IF(B8&lt;=24,15,20))*(Assumptions!C15/12)*Assumptions!C9*(1+Assumptions!C10)</x:f>
        <x:v>633.3816666666665</x:v>
      </x:c>
      <x:c r="L8" s="12" t="n">
        <x:f>SUM(Assumptions!C11:C14)</x:f>
        <x:v>475</x:v>
      </x:c>
      <x:c r="M8" s="10">
        <x:v>0</x:v>
      </x:c>
      <x:c r="N8" s="12">
        <x:f t="shared" si="2"/>
        <x:v>-621.38166666666621</x:v>
      </x:c>
      <x:c r="O8" s="12">
        <x:f t="shared" si="3"/>
        <x:v>-11353.004999999999</x:v>
      </x:c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</x:row>
    <x:row r="9">
      <x:c r="A9" s="58">
        <x:v>8</x:v>
      </x:c>
      <x:c r="B9" s="57">
        <x:v>20</x:v>
      </x:c>
      <x:c r="C9" s="57">
        <x:v>2</x:v>
      </x:c>
      <x:c r="D9" s="57">
        <x:v>14</x:v>
      </x:c>
      <x:c r="E9" s="58">
        <x:f t="shared" si="0"/>
        <x:v>3</x:v>
      </x:c>
      <x:c r="F9" s="12" t="n">
        <x:f>B9*Assumptions!C5</x:f>
        <x:v>700</x:v>
      </x:c>
      <x:c r="G9" s="12" t="n">
        <x:f>B9*C9*(Assumptions!C15/12)*Assumptions!C6</x:f>
        <x:v>4333.333333333333</x:v>
      </x:c>
      <x:c r="H9" s="12">
        <x:f t="shared" si="1"/>
        <x:v>5033.333333333333</x:v>
      </x:c>
      <x:c r="I9" s="12" t="n">
        <x:f>B9*C9*(Assumptions!C15/12)*Assumptions!C7</x:f>
        <x:v>520</x:v>
      </x:c>
      <x:c r="J9" s="12" t="n">
        <x:f>E9*(Assumptions!C15/12)*Assumptions!C16</x:f>
        <x:v>3575</x:v>
      </x:c>
      <x:c r="K9" s="12" t="n">
        <x:f>IF(B9&lt;=18,10,IF(B9&lt;=24,15,20))*(Assumptions!C15/12)*Assumptions!C9*(1+Assumptions!C10)</x:f>
        <x:v>950.0725</x:v>
      </x:c>
      <x:c r="L9" s="12" t="n">
        <x:f>SUM(Assumptions!C11:C14)</x:f>
        <x:v>475</x:v>
      </x:c>
      <x:c r="M9" s="10">
        <x:v>0</x:v>
      </x:c>
      <x:c r="N9" s="12">
        <x:f t="shared" si="2"/>
        <x:v>-486.73916666666719</x:v>
      </x:c>
      <x:c r="O9" s="12">
        <x:f t="shared" si="3"/>
        <x:v>-11839.744166666667</x:v>
      </x:c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</x:row>
    <x:row r="10">
      <x:c r="A10" s="58">
        <x:v>9</x:v>
      </x:c>
      <x:c r="B10" s="57">
        <x:v>22</x:v>
      </x:c>
      <x:c r="C10" s="57">
        <x:v>2</x:v>
      </x:c>
      <x:c r="D10" s="57">
        <x:v>14</x:v>
      </x:c>
      <x:c r="E10" s="58">
        <x:f t="shared" si="0"/>
        <x:v>4</x:v>
      </x:c>
      <x:c r="F10" s="12" t="n">
        <x:f>B10*Assumptions!C5</x:f>
        <x:v>770</x:v>
      </x:c>
      <x:c r="G10" s="12" t="n">
        <x:f>B10*C10*(Assumptions!C15/12)*Assumptions!C6</x:f>
        <x:v>4766.666666666666</x:v>
      </x:c>
      <x:c r="H10" s="12">
        <x:f t="shared" si="1"/>
        <x:v>5536.6666666666661</x:v>
      </x:c>
      <x:c r="I10" s="12" t="n">
        <x:f>B10*C10*(Assumptions!C15/12)*Assumptions!C7</x:f>
        <x:v>572</x:v>
      </x:c>
      <x:c r="J10" s="12" t="n">
        <x:f>E10*(Assumptions!C15/12)*Assumptions!C16</x:f>
        <x:v>4766.666666666666</x:v>
      </x:c>
      <x:c r="K10" s="12" t="n">
        <x:f>IF(B10&lt;=18,10,IF(B10&lt;=24,15,20))*(Assumptions!C15/12)*Assumptions!C9*(1+Assumptions!C10)</x:f>
        <x:v>950.0725</x:v>
      </x:c>
      <x:c r="L10" s="12" t="n">
        <x:f>SUM(Assumptions!C11:C14)</x:f>
        <x:v>475</x:v>
      </x:c>
      <x:c r="M10" s="10">
        <x:v>0</x:v>
      </x:c>
      <x:c r="N10" s="12">
        <x:f t="shared" si="2"/>
        <x:v>-1227.0725000000002</x:v>
      </x:c>
      <x:c r="O10" s="12">
        <x:f t="shared" si="3"/>
        <x:v>-13066.816666666668</x:v>
      </x:c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</x:row>
    <x:row r="11">
      <x:c r="A11" s="58">
        <x:v>10</x:v>
      </x:c>
      <x:c r="B11" s="57">
        <x:v>24</x:v>
      </x:c>
      <x:c r="C11" s="57">
        <x:v>2</x:v>
      </x:c>
      <x:c r="D11" s="57">
        <x:v>14</x:v>
      </x:c>
      <x:c r="E11" s="58">
        <x:f t="shared" si="0"/>
        <x:v>4</x:v>
      </x:c>
      <x:c r="F11" s="12" t="n">
        <x:f>B11*Assumptions!C5</x:f>
        <x:v>840</x:v>
      </x:c>
      <x:c r="G11" s="12" t="n">
        <x:f>B11*C11*(Assumptions!C15/12)*Assumptions!C6</x:f>
        <x:v>5200</x:v>
      </x:c>
      <x:c r="H11" s="12">
        <x:f t="shared" si="1"/>
        <x:v>6040</x:v>
      </x:c>
      <x:c r="I11" s="12" t="n">
        <x:f>B11*C11*(Assumptions!C15/12)*Assumptions!C7</x:f>
        <x:v>624</x:v>
      </x:c>
      <x:c r="J11" s="12" t="n">
        <x:f>E11*(Assumptions!C15/12)*Assumptions!C16</x:f>
        <x:v>4766.666666666666</x:v>
      </x:c>
      <x:c r="K11" s="12" t="n">
        <x:f>IF(B11&lt;=18,10,IF(B11&lt;=24,15,20))*(Assumptions!C15/12)*Assumptions!C9*(1+Assumptions!C10)</x:f>
        <x:v>950.0725</x:v>
      </x:c>
      <x:c r="L11" s="12" t="n">
        <x:f>SUM(Assumptions!C11:C14)</x:f>
        <x:v>475</x:v>
      </x:c>
      <x:c r="M11" s="10">
        <x:v>0</x:v>
      </x:c>
      <x:c r="N11" s="12">
        <x:f t="shared" si="2"/>
        <x:v>-775.73916666666628</x:v>
      </x:c>
      <x:c r="O11" s="12">
        <x:f t="shared" si="3"/>
        <x:v>-13842.555833333334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</x:row>
    <x:row r="12">
      <x:c r="A12" s="58">
        <x:v>11</x:v>
      </x:c>
      <x:c r="B12" s="57">
        <x:v>26</x:v>
      </x:c>
      <x:c r="C12" s="57">
        <x:v>2</x:v>
      </x:c>
      <x:c r="D12" s="57">
        <x:v>14</x:v>
      </x:c>
      <x:c r="E12" s="58">
        <x:f t="shared" si="0"/>
        <x:v>4</x:v>
      </x:c>
      <x:c r="F12" s="12" t="n">
        <x:f>B12*Assumptions!C5</x:f>
        <x:v>910</x:v>
      </x:c>
      <x:c r="G12" s="12" t="n">
        <x:f>B12*C12*(Assumptions!C15/12)*Assumptions!C6</x:f>
        <x:v>5633.333333333333</x:v>
      </x:c>
      <x:c r="H12" s="12">
        <x:f t="shared" si="1"/>
        <x:v>6543.333333333333</x:v>
      </x:c>
      <x:c r="I12" s="12" t="n">
        <x:f>B12*C12*(Assumptions!C15/12)*Assumptions!C7</x:f>
        <x:v>676</x:v>
      </x:c>
      <x:c r="J12" s="12" t="n">
        <x:f>E12*(Assumptions!C15/12)*Assumptions!C16</x:f>
        <x:v>4766.666666666666</x:v>
      </x:c>
      <x:c r="K12" s="12" t="n">
        <x:f>IF(B12&lt;=18,10,IF(B12&lt;=24,15,20))*(Assumptions!C15/12)*Assumptions!C9*(1+Assumptions!C10)</x:f>
        <x:v>1266.763333333333</x:v>
      </x:c>
      <x:c r="L12" s="12" t="n">
        <x:f>SUM(Assumptions!C11:C14)</x:f>
        <x:v>475</x:v>
      </x:c>
      <x:c r="M12" s="10">
        <x:v>0</x:v>
      </x:c>
      <x:c r="N12" s="12">
        <x:f t="shared" si="2"/>
        <x:v>-641.09666666666635</x:v>
      </x:c>
      <x:c r="O12" s="12">
        <x:f t="shared" si="3"/>
        <x:v>-14483.6525</x:v>
      </x:c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</x:row>
    <x:row r="13">
      <x:c r="A13" s="58">
        <x:v>12</x:v>
      </x:c>
      <x:c r="B13" s="57">
        <x:v>28</x:v>
      </x:c>
      <x:c r="C13" s="57">
        <x:v>2</x:v>
      </x:c>
      <x:c r="D13" s="57">
        <x:v>14</x:v>
      </x:c>
      <x:c r="E13" s="58">
        <x:f t="shared" si="0"/>
        <x:v>4</x:v>
      </x:c>
      <x:c r="F13" s="12" t="n">
        <x:f>B13*Assumptions!C5</x:f>
        <x:v>980</x:v>
      </x:c>
      <x:c r="G13" s="12" t="n">
        <x:f>B13*C13*(Assumptions!C15/12)*Assumptions!C6</x:f>
        <x:v>6066.666666666666</x:v>
      </x:c>
      <x:c r="H13" s="12">
        <x:f t="shared" si="1"/>
        <x:v>7046.6666666666661</x:v>
      </x:c>
      <x:c r="I13" s="12" t="n">
        <x:f>B13*C13*(Assumptions!C15/12)*Assumptions!C7</x:f>
        <x:v>728</x:v>
      </x:c>
      <x:c r="J13" s="12" t="n">
        <x:f>E13*(Assumptions!C15/12)*Assumptions!C16</x:f>
        <x:v>4766.666666666666</x:v>
      </x:c>
      <x:c r="K13" s="12" t="n">
        <x:f>IF(B13&lt;=18,10,IF(B13&lt;=24,15,20))*(Assumptions!C15/12)*Assumptions!C9*(1+Assumptions!C10)</x:f>
        <x:v>1266.763333333333</x:v>
      </x:c>
      <x:c r="L13" s="12" t="n">
        <x:f>SUM(Assumptions!C11:C14)</x:f>
        <x:v>475</x:v>
      </x:c>
      <x:c r="M13" s="10">
        <x:v>0</x:v>
      </x:c>
      <x:c r="N13" s="12">
        <x:f t="shared" si="2"/>
        <x:v>-189.76333333333332</x:v>
      </x:c>
      <x:c r="O13" s="12">
        <x:f t="shared" si="3"/>
        <x:v>-14673.415833333333</x:v>
      </x:c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</x:row>
    <x:row r="15" ht="48">
      <x:c r="A15" s="51" t="s">
        <x:v>1099</x:v>
      </x:c>
      <x:c r="B15" s="51" t="s">
        <x:v>1100</x:v>
      </x:c>
      <x:c r="C15" s="51" t="s">
        <x:v>240</x:v>
      </x:c>
      <x:c r="D15" s="51" t="s">
        <x:v>30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</x:row>
    <x:row r="16" ht="96">
      <x:c r="A16" s="4" t="s">
        <x:v>1101</x:v>
      </x:c>
      <x:c r="B16" s="62">
        <x:v>2650</x:v>
      </x:c>
      <x:c r="C16" s="4" t="s">
        <x:v>244</x:v>
      </x:c>
      <x:c r="D16" s="4" t="s">
        <x:v>1102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</x:row>
    <x:row r="17" ht="32">
      <x:c r="A17" s="4" t="s">
        <x:v>945</x:v>
      </x:c>
      <x:c r="B17" s="62">
        <x:v>5000</x:v>
      </x:c>
      <x:c r="C17" s="4" t="s">
        <x:v>1103</x:v>
      </x:c>
      <x:c r="D17" s="4" t="s">
        <x:v>1104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 ht="80">
      <x:c r="A18" s="4" t="s">
        <x:v>1105</x:v>
      </x:c>
      <x:c r="B18" s="62">
        <x:v>8000</x:v>
      </x:c>
      <x:c r="C18" s="4" t="s">
        <x:v>1106</x:v>
      </x:c>
      <x:c r="D18" s="4" t="s">
        <x:v>1107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</x:row>
    <x:row r="19">
      <x:c r="A19" s="4"/>
      <x:c r="B19" s="4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</x:row>
    <x:row r="20" ht="48">
      <x:c r="A20" s="51" t="s">
        <x:v>1108</x:v>
      </x:c>
      <x:c r="B20" s="53" t="s">
        <x:v>32</x:v>
      </x:c>
      <x:c r="C20" s="51" t="s">
        <x:v>30</x:v>
      </x:c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</x:row>
    <x:row r="21" ht="80">
      <x:c r="A21" s="4" t="s">
        <x:v>1109</x:v>
      </x:c>
      <x:c r="B21" s="12" t="n">
        <x:f>MIN(O2:O13)</x:f>
        <x:v>-14673.415833333333</x:v>
      </x:c>
      <x:c r="C21" s="4" t="s">
        <x:v>1110</x:v>
      </x:c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</x:row>
    <x:row r="22" ht="96">
      <x:c r="A22" s="41" t="s">
        <x:v>1111</x:v>
      </x:c>
      <x:c r="B22" s="59" t="n">
        <x:f>MAX(0,-B21)*1.15</x:f>
        <x:v>16874.42820833333</x:v>
      </x:c>
      <x:c r="C22" s="41" t="s">
        <x:v>1112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</x:row>
    <x:row r="23">
      <x:c r="A23" s="4"/>
      <x:c r="B23" s="6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</x:row>
    <x:row r="24">
      <x:c r="A24" s="4"/>
      <x:c r="B24" s="6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20" customWidth="1"/>
    <x:col min="3" max="3" width="50" customWidth="1"/>
    <x:col min="4" max="4" width="24" customWidth="1"/>
    <x:col min="5" max="5" width="35" customWidth="1"/>
    <x:col min="6" max="6" width="50" customWidth="1"/>
    <x:col min="7" max="7" width="18" customWidth="1"/>
  </x:cols>
  <x:sheetData>
    <x:row r="1">
      <x:c r="A1" s="38" t="s">
        <x:v>1113</x:v>
      </x:c>
      <x:c r="B1" s="38" t="s">
        <x:v>1114</x:v>
      </x:c>
      <x:c r="C1" s="38" t="s">
        <x:v>1115</x:v>
      </x:c>
      <x:c r="D1" s="38" t="s">
        <x:v>1116</x:v>
      </x:c>
      <x:c r="E1" s="38" t="s">
        <x:v>1117</x:v>
      </x:c>
      <x:c r="F1" s="38" t="s">
        <x:v>1118</x:v>
      </x:c>
      <x:c r="G1" s="38" t="s">
        <x:v>1119</x:v>
      </x:c>
    </x:row>
    <x:row r="2" ht="32">
      <x:c r="A2" s="4" t="s">
        <x:v>1120</x:v>
      </x:c>
      <x:c r="B2" s="4" t="str">
        <x:v>17 Sep 2026</x:v>
      </x:c>
      <x:c r="C2" s="4" t="s">
        <x:v>1121</x:v>
      </x:c>
      <x:c r="D2" s="4" t="s">
        <x:v>1122</x:v>
      </x:c>
      <x:c r="E2" s="4" t="s">
        <x:v>1123</x:v>
      </x:c>
      <x:c r="F2" s="4" t="s">
        <x:v>1124</x:v>
      </x:c>
      <x:c r="G2" s="4" t="s">
        <x:v>1125</x:v>
      </x:c>
    </x:row>
    <x:row r="3" ht="16">
      <x:c r="A3" s="4" t="s">
        <x:v>1126</x:v>
      </x:c>
      <x:c r="B3" s="4" t="s">
        <x:v>1127</x:v>
      </x:c>
      <x:c r="C3" s="4" t="s">
        <x:v>1128</x:v>
      </x:c>
      <x:c r="D3" s="4" t="s">
        <x:v>72</x:v>
      </x:c>
      <x:c r="E3" s="4" t="s">
        <x:v>1129</x:v>
      </x:c>
      <x:c r="F3" s="4" t="s">
        <x:v>1130</x:v>
      </x:c>
      <x:c r="G3" s="4" t="s">
        <x:v>1125</x:v>
      </x:c>
    </x:row>
    <x:row r="4" ht="16">
      <x:c r="A4" s="4" t="s">
        <x:v>1131</x:v>
      </x:c>
      <x:c r="B4" s="4" t="s">
        <x:v>1127</x:v>
      </x:c>
      <x:c r="C4" s="4" t="s">
        <x:v>1132</x:v>
      </x:c>
      <x:c r="D4" s="4" t="s">
        <x:v>72</x:v>
      </x:c>
      <x:c r="E4" s="4" t="s">
        <x:v>1133</x:v>
      </x:c>
      <x:c r="F4" s="4" t="s">
        <x:v>1134</x:v>
      </x:c>
      <x:c r="G4" s="4" t="s">
        <x:v>1125</x:v>
      </x:c>
    </x:row>
    <x:row r="5" ht="16">
      <x:c r="A5" s="4" t="s">
        <x:v>105</x:v>
      </x:c>
      <x:c r="B5" s="4" t="s">
        <x:v>1127</x:v>
      </x:c>
      <x:c r="C5" s="4" t="s">
        <x:v>1135</x:v>
      </x:c>
      <x:c r="D5" s="4" t="s">
        <x:v>1136</x:v>
      </x:c>
      <x:c r="E5" s="4" t="s">
        <x:v>1137</x:v>
      </x:c>
      <x:c r="F5" s="4" t="s">
        <x:v>1138</x:v>
      </x:c>
      <x:c r="G5" s="4" t="s">
        <x:v>1125</x:v>
      </x:c>
    </x:row>
    <x:row r="6" ht="32">
      <x:c r="A6" s="4" t="s">
        <x:v>1139</x:v>
      </x:c>
      <x:c r="B6" s="4" t="s">
        <x:v>1127</x:v>
      </x:c>
      <x:c r="C6" s="4" t="s">
        <x:v>1140</x:v>
      </x:c>
      <x:c r="D6" s="4" t="s">
        <x:v>1141</x:v>
      </x:c>
      <x:c r="E6" s="4" t="s">
        <x:v>1142</x:v>
      </x:c>
      <x:c r="F6" s="4" t="s">
        <x:v>1143</x:v>
      </x:c>
      <x:c r="G6" s="4" t="s">
        <x:v>1125</x:v>
      </x:c>
    </x:row>
    <x:row r="7" ht="16">
      <x:c r="A7" s="4" t="s">
        <x:v>1144</x:v>
      </x:c>
      <x:c r="B7" s="4" t="s">
        <x:v>1127</x:v>
      </x:c>
      <x:c r="C7" s="4" t="s">
        <x:v>1145</x:v>
      </x:c>
      <x:c r="D7" s="4" t="s">
        <x:v>1146</x:v>
      </x:c>
      <x:c r="E7" s="4" t="s">
        <x:v>1147</x:v>
      </x:c>
      <x:c r="F7" s="4" t="s">
        <x:v>1148</x:v>
      </x:c>
      <x:c r="G7" s="4" t="s">
        <x:v>1125</x:v>
      </x:c>
    </x:row>
    <x:row r="9" ht="16">
      <x:c r="A9" s="51" t="s">
        <x:v>1149</x:v>
      </x:c>
      <x:c r="B9" s="51"/>
      <x:c r="C9" s="51"/>
      <x:c r="D9" s="51"/>
      <x:c r="E9" s="51"/>
      <x:c r="F9" s="51"/>
      <x:c r="G9" s="51"/>
    </x:row>
    <x:row r="10" ht="16">
      <x:c r="A10" s="52" t="s">
        <x:v>1150</x:v>
      </x:c>
      <x:c r="B10" s="77" t="s">
        <x:v>1151</x:v>
      </x:c>
      <x:c r="C10" s="77"/>
      <x:c r="D10" s="77"/>
      <x:c r="E10" s="77"/>
      <x:c r="F10" s="77"/>
      <x:c r="G10" s="77"/>
    </x:row>
    <x:row r="11" ht="16">
      <x:c r="A11" s="52" t="s">
        <x:v>1152</x:v>
      </x:c>
      <x:c r="B11" s="77" t="s">
        <x:v>1153</x:v>
      </x:c>
      <x:c r="C11" s="77"/>
      <x:c r="D11" s="77"/>
      <x:c r="E11" s="77"/>
      <x:c r="F11" s="77"/>
      <x:c r="G11" s="77"/>
    </x:row>
    <x:row r="12" ht="16">
      <x:c r="A12" s="52" t="s">
        <x:v>1154</x:v>
      </x:c>
      <x:c r="B12" s="77" t="s">
        <x:v>1155</x:v>
      </x:c>
      <x:c r="C12" s="77"/>
      <x:c r="D12" s="77"/>
      <x:c r="E12" s="77"/>
      <x:c r="F12" s="77"/>
      <x:c r="G12" s="77"/>
    </x:row>
    <x:row r="13" ht="16">
      <x:c r="A13" s="52" t="s">
        <x:v>1156</x:v>
      </x:c>
      <x:c r="B13" s="77" t="s">
        <x:v>1157</x:v>
      </x:c>
      <x:c r="C13" s="77"/>
      <x:c r="D13" s="77"/>
      <x:c r="E13" s="77"/>
      <x:c r="F13" s="77"/>
      <x:c r="G13" s="77"/>
    </x:row>
  </x:sheetData>
  <x:mergeCells>
    <x:mergeCell ref="B10:G10"/>
    <x:mergeCell ref="B11:G11"/>
    <x:mergeCell ref="B12:G12"/>
    <x:mergeCell ref="B13:G13"/>
  </x:mergeCells>
  <x:pageMargins left="0.7" right="0.7" top="0.75" bottom="0.75" header="0.3" footer="0.3"/>
  <x:tableParts count="1">
    <x:tablePart xmlns:r="http://schemas.openxmlformats.org/officeDocument/2006/relationships" r:id="Raee82f6fe4034833"/>
  </x:tableParts>
</x:worksheet>
</file>

<file path=xl/worksheets/sheet22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22" customWidth="1"/>
    <x:col min="5" max="6" width="28" customWidth="1"/>
    <x:col min="7" max="7" width="23" customWidth="1"/>
    <x:col min="8" max="8" width="48" customWidth="1"/>
  </x:cols>
  <x:sheetData>
    <x:row r="1" ht="32">
      <x:c r="A1" s="47" t="s">
        <x:v>1158</x:v>
      </x:c>
      <x:c r="B1" s="47" t="s">
        <x:v>1159</x:v>
      </x:c>
      <x:c r="C1" s="47" t="s">
        <x:v>1160</x:v>
      </x:c>
      <x:c r="D1" s="47" t="s">
        <x:v>1161</x:v>
      </x:c>
      <x:c r="E1" s="47" t="s">
        <x:v>1162</x:v>
      </x:c>
      <x:c r="F1" s="47" t="s">
        <x:v>1163</x:v>
      </x:c>
      <x:c r="G1" s="47" t="s">
        <x:v>1164</x:v>
      </x:c>
      <x:c r="H1" s="47" t="s">
        <x:v>30</x:v>
      </x:c>
    </x:row>
    <x:row r="2">
      <x:c r="A2" s="60">
        <x:v>225</x:v>
      </x:c>
      <x:c r="B2" s="55" t="n">
        <x:f>ROUNDUP((3*(Assumptions!C15/12)*A2+((10*(Assumptions!C15/12)*Assumptions!C9)*(1+Assumptions!C10))+SUM(Assumptions!C11:C14))/(Assumptions!C5+(25-Assumptions!C7)*Assumptions!C3*(Assumptions!C15/12)),0)</x:f>
        <x:v>18</x:v>
      </x:c>
      <x:c r="C2" s="55" t="n">
        <x:f>ROUNDUP((3*(Assumptions!C15/12)*A2+((10*(Assumptions!C15/12)*Assumptions!C9)*(1+Assumptions!C10))+SUM(Assumptions!C11:C14))/(Assumptions!C5+(28-Assumptions!C7)*Assumptions!C3*(Assumptions!C15/12)),0)</x:f>
        <x:v>17</x:v>
      </x:c>
      <x:c r="D2" s="55" t="n">
        <x:f>ROUNDUP((3*(Assumptions!C15/12)*A2+((10*(Assumptions!C15/12)*Assumptions!C9)*(1+Assumptions!C10))+SUM(Assumptions!C11:C14))/(Assumptions!C5+(30-Assumptions!C7)*Assumptions!C3*(Assumptions!C15/12)),0)</x:f>
        <x:v>15</x:v>
      </x:c>
      <x:c r="E2" s="61" t="n">
        <x:f>ROUND((((21*'Unit Economics'!B16*'Unit Economics'!B10+3*'Unit Economics'!B4*A2+'Unit Economics'!B26)/(1-0.1)-21*'Unit Economics'!B8)/(21*'Unit Economics'!B16)),2)</x:f>
        <x:v>23.92</x:v>
      </x:c>
      <x:c r="F2" s="61" t="n">
        <x:f>ROUND((((21*'Unit Economics'!B16*'Unit Economics'!B10+3*'Unit Economics'!B4*A2+'Unit Economics'!B26)/(1-0.15)-21*'Unit Economics'!B8)/(21*'Unit Economics'!B16)),2)</x:f>
        <x:v>25.56</x:v>
      </x:c>
      <x:c r="G2" t="str">
        <x:f t="shared" ref="G2:G7" si="0">IF(B2&lt;=21,"YES","NO")</x:f>
        <x:v>YES</x:v>
      </x:c>
      <x:c r="H2" t="s">
        <x:v>1165</x:v>
      </x:c>
    </x:row>
    <x:row r="3">
      <x:c r="A3" s="60">
        <x:v>250</x:v>
      </x:c>
      <x:c r="B3" s="55" t="n">
        <x:f>ROUNDUP((3*(Assumptions!C15/12)*A3+((10*(Assumptions!C15/12)*Assumptions!C9)*(1+Assumptions!C10))+SUM(Assumptions!C11:C14))/(Assumptions!C5+(25-Assumptions!C7)*Assumptions!C3*(Assumptions!C15/12)),0)</x:f>
        <x:v>20</x:v>
      </x:c>
      <x:c r="C3" s="55" t="n">
        <x:f>ROUNDUP((3*(Assumptions!C15/12)*A3+((10*(Assumptions!C15/12)*Assumptions!C9)*(1+Assumptions!C10))+SUM(Assumptions!C11:C14))/(Assumptions!C5+(28-Assumptions!C7)*Assumptions!C3*(Assumptions!C15/12)),0)</x:f>
        <x:v>18</x:v>
      </x:c>
      <x:c r="D3" s="55" t="n">
        <x:f>ROUNDUP((3*(Assumptions!C15/12)*A3+((10*(Assumptions!C15/12)*Assumptions!C9)*(1+Assumptions!C10))+SUM(Assumptions!C11:C14))/(Assumptions!C5+(30-Assumptions!C7)*Assumptions!C3*(Assumptions!C15/12)),0)</x:f>
        <x:v>17</x:v>
      </x:c>
      <x:c r="E3" s="61" t="n">
        <x:f>ROUND((((21*'Unit Economics'!B16*'Unit Economics'!B10+3*'Unit Economics'!B4*A3+'Unit Economics'!B26)/(1-0.1)-21*'Unit Economics'!B8)/(21*'Unit Economics'!B16)),2)</x:f>
        <x:v>25.9</x:v>
      </x:c>
      <x:c r="F3" s="61" t="n">
        <x:f>ROUND((((21*'Unit Economics'!B16*'Unit Economics'!B10+3*'Unit Economics'!B4*A3+'Unit Economics'!B26)/(1-0.15)-21*'Unit Economics'!B8)/(21*'Unit Economics'!B16)),2)</x:f>
        <x:v>27.66</x:v>
      </x:c>
      <x:c r="G3" t="str">
        <x:f t="shared" si="0"/>
        <x:v>YES</x:v>
      </x:c>
      <x:c r="H3" t="s">
        <x:v>1165</x:v>
      </x:c>
    </x:row>
    <x:row r="4">
      <x:c r="A4" s="60">
        <x:v>275</x:v>
      </x:c>
      <x:c r="B4" s="55" t="n">
        <x:f>ROUNDUP((3*(Assumptions!C15/12)*A4+((10*(Assumptions!C15/12)*Assumptions!C9)*(1+Assumptions!C10))+SUM(Assumptions!C11:C14))/(Assumptions!C5+(25-Assumptions!C7)*Assumptions!C3*(Assumptions!C15/12)),0)</x:f>
        <x:v>21</x:v>
      </x:c>
      <x:c r="C4" s="55" t="n">
        <x:f>ROUNDUP((3*(Assumptions!C15/12)*A4+((10*(Assumptions!C15/12)*Assumptions!C9)*(1+Assumptions!C10))+SUM(Assumptions!C11:C14))/(Assumptions!C5+(28-Assumptions!C7)*Assumptions!C3*(Assumptions!C15/12)),0)</x:f>
        <x:v>19</x:v>
      </x:c>
      <x:c r="D4" s="55" t="n">
        <x:f>ROUNDUP((3*(Assumptions!C15/12)*A4+((10*(Assumptions!C15/12)*Assumptions!C9)*(1+Assumptions!C10))+SUM(Assumptions!C11:C14))/(Assumptions!C5+(30-Assumptions!C7)*Assumptions!C3*(Assumptions!C15/12)),0)</x:f>
        <x:v>18</x:v>
      </x:c>
      <x:c r="E4" s="61" t="n">
        <x:f>ROUND((((21*'Unit Economics'!B16*'Unit Economics'!B10+3*'Unit Economics'!B4*A4+'Unit Economics'!B26)/(1-0.1)-21*'Unit Economics'!B8)/(21*'Unit Economics'!B16)),2)</x:f>
        <x:v>27.89</x:v>
      </x:c>
      <x:c r="F4" s="61" t="n">
        <x:f>ROUND((((21*'Unit Economics'!B16*'Unit Economics'!B10+3*'Unit Economics'!B4*A4+'Unit Economics'!B26)/(1-0.15)-21*'Unit Economics'!B8)/(21*'Unit Economics'!B16)),2)</x:f>
        <x:v>29.76</x:v>
      </x:c>
      <x:c r="G4" t="str">
        <x:f t="shared" si="0"/>
        <x:v>YES</x:v>
      </x:c>
      <x:c r="H4" t="s">
        <x:v>1165</x:v>
      </x:c>
    </x:row>
    <x:row r="5">
      <x:c r="A5" s="60">
        <x:v>300</x:v>
      </x:c>
      <x:c r="B5" s="55" t="n">
        <x:f>ROUNDUP((3*(Assumptions!C15/12)*A5+((10*(Assumptions!C15/12)*Assumptions!C9)*(1+Assumptions!C10))+SUM(Assumptions!C11:C14))/(Assumptions!C5+(25-Assumptions!C7)*Assumptions!C3*(Assumptions!C15/12)),0)</x:f>
        <x:v>23</x:v>
      </x:c>
      <x:c r="C5" s="55" t="n">
        <x:f>ROUNDUP((3*(Assumptions!C15/12)*A5+((10*(Assumptions!C15/12)*Assumptions!C9)*(1+Assumptions!C10))+SUM(Assumptions!C11:C14))/(Assumptions!C5+(28-Assumptions!C7)*Assumptions!C3*(Assumptions!C15/12)),0)</x:f>
        <x:v>20</x:v>
      </x:c>
      <x:c r="D5" s="55" t="n">
        <x:f>ROUNDUP((3*(Assumptions!C15/12)*A5+((10*(Assumptions!C15/12)*Assumptions!C9)*(1+Assumptions!C10))+SUM(Assumptions!C11:C14))/(Assumptions!C5+(30-Assumptions!C7)*Assumptions!C3*(Assumptions!C15/12)),0)</x:f>
        <x:v>19</x:v>
      </x:c>
      <x:c r="E5" s="61" t="n">
        <x:f>ROUND((((21*'Unit Economics'!B16*'Unit Economics'!B10+3*'Unit Economics'!B4*A5+'Unit Economics'!B26)/(1-0.1)-21*'Unit Economics'!B8)/(21*'Unit Economics'!B16)),2)</x:f>
        <x:v>29.87</x:v>
      </x:c>
      <x:c r="F5" s="61" t="n">
        <x:f>ROUND((((21*'Unit Economics'!B16*'Unit Economics'!B10+3*'Unit Economics'!B4*A5+'Unit Economics'!B26)/(1-0.15)-21*'Unit Economics'!B8)/(21*'Unit Economics'!B16)),2)</x:f>
        <x:v>31.87</x:v>
      </x:c>
      <x:c r="G5" t="str">
        <x:f t="shared" si="0"/>
        <x:v>NO</x:v>
      </x:c>
      <x:c r="H5" t="s">
        <x:v>1165</x:v>
      </x:c>
    </x:row>
    <x:row r="6">
      <x:c r="A6" s="60">
        <x:v>325</x:v>
      </x:c>
      <x:c r="B6" s="55" t="n">
        <x:f>ROUNDUP((3*(Assumptions!C15/12)*A6+((10*(Assumptions!C15/12)*Assumptions!C9)*(1+Assumptions!C10))+SUM(Assumptions!C11:C14))/(Assumptions!C5+(25-Assumptions!C7)*Assumptions!C3*(Assumptions!C15/12)),0)</x:f>
        <x:v>24</x:v>
      </x:c>
      <x:c r="C6" s="55" t="n">
        <x:f>ROUNDUP((3*(Assumptions!C15/12)*A6+((10*(Assumptions!C15/12)*Assumptions!C9)*(1+Assumptions!C10))+SUM(Assumptions!C11:C14))/(Assumptions!C5+(28-Assumptions!C7)*Assumptions!C3*(Assumptions!C15/12)),0)</x:f>
        <x:v>22</x:v>
      </x:c>
      <x:c r="D6" s="55" t="n">
        <x:f>ROUNDUP((3*(Assumptions!C15/12)*A6+((10*(Assumptions!C15/12)*Assumptions!C9)*(1+Assumptions!C10))+SUM(Assumptions!C11:C14))/(Assumptions!C5+(30-Assumptions!C7)*Assumptions!C3*(Assumptions!C15/12)),0)</x:f>
        <x:v>20</x:v>
      </x:c>
      <x:c r="E6" s="61" t="n">
        <x:f>ROUND((((21*'Unit Economics'!B16*'Unit Economics'!B10+3*'Unit Economics'!B4*A6+'Unit Economics'!B26)/(1-0.1)-21*'Unit Economics'!B8)/(21*'Unit Economics'!B16)),2)</x:f>
        <x:v>31.86</x:v>
      </x:c>
      <x:c r="F6" s="61" t="n">
        <x:f>ROUND((((21*'Unit Economics'!B16*'Unit Economics'!B10+3*'Unit Economics'!B4*A6+'Unit Economics'!B26)/(1-0.15)-21*'Unit Economics'!B8)/(21*'Unit Economics'!B16)),2)</x:f>
        <x:v>33.97</x:v>
      </x:c>
      <x:c r="G6" t="str">
        <x:f t="shared" si="0"/>
        <x:v>NO</x:v>
      </x:c>
      <x:c r="H6" t="s">
        <x:v>1165</x:v>
      </x:c>
    </x:row>
    <x:row r="7">
      <x:c r="A7" s="60">
        <x:v>350</x:v>
      </x:c>
      <x:c r="B7" s="55" t="n">
        <x:f>ROUNDUP((3*(Assumptions!C15/12)*A7+((10*(Assumptions!C15/12)*Assumptions!C9)*(1+Assumptions!C10))+SUM(Assumptions!C11:C14))/(Assumptions!C5+(25-Assumptions!C7)*Assumptions!C3*(Assumptions!C15/12)),0)</x:f>
        <x:v>26</x:v>
      </x:c>
      <x:c r="C7" s="55" t="n">
        <x:f>ROUNDUP((3*(Assumptions!C15/12)*A7+((10*(Assumptions!C15/12)*Assumptions!C9)*(1+Assumptions!C10))+SUM(Assumptions!C11:C14))/(Assumptions!C5+(28-Assumptions!C7)*Assumptions!C3*(Assumptions!C15/12)),0)</x:f>
        <x:v>23</x:v>
      </x:c>
      <x:c r="D7" s="55" t="n">
        <x:f>ROUNDUP((3*(Assumptions!C15/12)*A7+((10*(Assumptions!C15/12)*Assumptions!C9)*(1+Assumptions!C10))+SUM(Assumptions!C11:C14))/(Assumptions!C5+(30-Assumptions!C7)*Assumptions!C3*(Assumptions!C15/12)),0)</x:f>
        <x:v>22</x:v>
      </x:c>
      <x:c r="E7" s="61" t="n">
        <x:f>ROUND((((21*'Unit Economics'!B16*'Unit Economics'!B10+3*'Unit Economics'!B4*A7+'Unit Economics'!B26)/(1-0.1)-21*'Unit Economics'!B8)/(21*'Unit Economics'!B16)),2)</x:f>
        <x:v>33.84</x:v>
      </x:c>
      <x:c r="F7" s="61" t="n">
        <x:f>ROUND((((21*'Unit Economics'!B16*'Unit Economics'!B10+3*'Unit Economics'!B4*A7+'Unit Economics'!B26)/(1-0.15)-21*'Unit Economics'!B8)/(21*'Unit Economics'!B16)),2)</x:f>
        <x:v>36.07</x:v>
      </x:c>
      <x:c r="G7" t="str">
        <x:f t="shared" si="0"/>
        <x:v>NO</x:v>
      </x:c>
      <x:c r="H7" t="s">
        <x:v>1165</x:v>
      </x:c>
    </x:row>
    <x:row r="9">
      <x:c r="A9" s="48" t="s">
        <x:v>1166</x:v>
      </x:c>
      <x:c r="B9" s="48" t="s">
        <x:v>32</x:v>
      </x:c>
    </x:row>
    <x:row r="10">
      <x:c r="A10" t="s">
        <x:v>1167</x:v>
      </x:c>
      <x:c r="B10" s="56">
        <x:v>3015</x:v>
      </x:c>
    </x:row>
    <x:row r="11">
      <x:c r="A11" t="s">
        <x:v>1168</x:v>
      </x:c>
      <x:c r="B11" s="56">
        <x:v>21</x:v>
      </x:c>
    </x:row>
    <x:row r="12">
      <x:c r="A12" t="s">
        <x:v>1169</x:v>
      </x:c>
      <x:c r="B12" s="61" t="n">
        <x:f>ROUND(((21*Assumptions!C5+21*Assumptions!C3*(Assumptions!C15/12)*(25-Assumptions!C7)-(((10*(Assumptions!C15/12)*Assumptions!C9)*(1+Assumptions!C10))+SUM(Assumptions!C11:C14)))/(3*(Assumptions!C15/12))),2)</x:f>
        <x:v>279.28</x:v>
      </x:c>
    </x:row>
    <x:row r="13">
      <x:c r="A13" t="s">
        <x:v>1170</x:v>
      </x:c>
      <x:c r="B13" s="61">
        <x:v>214.66</x:v>
      </x:c>
    </x:row>
    <x:row r="14">
      <x:c r="A14" t="s">
        <x:v>1171</x:v>
      </x:c>
      <x:c r="B14" s="61">
        <x:v>25</x:v>
      </x:c>
    </x:row>
    <x:row r="15">
      <x:c r="A15" t="s">
        <x:v>1172</x:v>
      </x:c>
      <x:c r="B15" s="1">
        <x:v>0.15</x:v>
      </x:c>
    </x:row>
    <x:row r="17">
      <x:c r="A17" s="78" t="s">
        <x:v>1173</x:v>
      </x:c>
      <x:c r="B17" s="78"/>
      <x:c r="C17" s="78"/>
      <x:c r="D17" s="78"/>
      <x:c r="E17" s="78"/>
      <x:c r="F17" s="78"/>
      <x:c r="G17" s="78"/>
      <x:c r="H17" s="78"/>
    </x:row>
  </x:sheetData>
  <x:mergeCells>
    <x:mergeCell ref="A17:H17"/>
  </x:mergeCells>
  <x:conditionalFormatting sqref="G2:G7">
    <x:cfRule type="expression" dxfId="1" priority="1">
      <x:formula>G2="YES"</x:formula>
    </x:cfRule>
    <x:cfRule type="expression" dxfId="0" priority="2">
      <x:formula>G2="NO"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20" customWidth="1"/>
    <x:col min="3" max="3" width="18" customWidth="1"/>
    <x:col min="4" max="4" width="20" customWidth="1"/>
    <x:col min="5" max="5" width="23" customWidth="1"/>
    <x:col min="6" max="6" width="26" customWidth="1"/>
    <x:col min="7" max="7" width="66" customWidth="1"/>
  </x:cols>
  <x:sheetData>
    <x:row r="1" ht="32">
      <x:c r="A1" s="47" t="s">
        <x:v>244</x:v>
      </x:c>
      <x:c r="B1" s="47" t="s">
        <x:v>1174</x:v>
      </x:c>
      <x:c r="C1" s="47" t="s">
        <x:v>1175</x:v>
      </x:c>
      <x:c r="D1" s="47" t="s">
        <x:v>1176</x:v>
      </x:c>
      <x:c r="E1" s="47" t="s">
        <x:v>1177</x:v>
      </x:c>
      <x:c r="F1" s="47" t="s">
        <x:v>1178</x:v>
      </x:c>
      <x:c r="G1" s="47" t="s">
        <x:v>30</x:v>
      </x:c>
    </x:row>
    <x:row r="2">
      <x:c r="A2" t="s">
        <x:v>1179</x:v>
      </x:c>
      <x:c r="B2" s="8">
        <x:v>1</x:v>
      </x:c>
      <x:c r="C2" s="8">
        <x:v>10</x:v>
      </x:c>
      <x:c r="D2" s="9" t="n">
        <x:f>B2*12.71</x:f>
        <x:v>12.71</x:v>
      </x:c>
      <x:c r="E2" s="9" t="n">
        <x:f>C2*0.55</x:f>
        <x:v>5.5</x:v>
      </x:c>
      <x:c r="F2" s="9" t="n">
        <x:f>D2+E2</x:f>
        <x:v>18.21</x:v>
      </x:c>
      <x:c r="G2" t="s">
        <x:v>1180</x:v>
      </x:c>
    </x:row>
    <x:row r="3">
      <x:c r="A3" t="s">
        <x:v>1181</x:v>
      </x:c>
      <x:c r="B3" s="8">
        <x:v>1.5</x:v>
      </x:c>
      <x:c r="C3" s="8">
        <x:v>20</x:v>
      </x:c>
      <x:c r="D3" s="9" t="n">
        <x:f>B3*12.71</x:f>
        <x:v>19.065</x:v>
      </x:c>
      <x:c r="E3" s="9" t="n">
        <x:f>C3*0.55</x:f>
        <x:v>11</x:v>
      </x:c>
      <x:c r="F3" s="9" t="n">
        <x:f>D3+E3</x:f>
        <x:v>30.065</x:v>
      </x:c>
      <x:c r="G3" t="s">
        <x:v>1180</x:v>
      </x:c>
    </x:row>
    <x:row r="4">
      <x:c r="A4" t="s">
        <x:v>1182</x:v>
      </x:c>
      <x:c r="B4" s="8">
        <x:v>2</x:v>
      </x:c>
      <x:c r="C4" s="8">
        <x:v>30</x:v>
      </x:c>
      <x:c r="D4" s="9" t="n">
        <x:f>B4*12.71</x:f>
        <x:v>25.42</x:v>
      </x:c>
      <x:c r="E4" s="9" t="n">
        <x:f>C4*0.55</x:f>
        <x:v>16.5</x:v>
      </x:c>
      <x:c r="F4" s="9" t="n">
        <x:f>D4+E4</x:f>
        <x:v>41.92</x:v>
      </x:c>
      <x:c r="G4" t="s">
        <x:v>1180</x:v>
      </x:c>
    </x:row>
    <x:row r="6">
      <x:c r="A6" s="79" t="s">
        <x:v>1183</x:v>
      </x:c>
      <x:c r="B6" s="79"/>
      <x:c r="C6" s="79"/>
      <x:c r="D6" s="79"/>
      <x:c r="E6" s="79"/>
      <x:c r="F6" s="79"/>
      <x:c r="G6" s="79"/>
    </x:row>
  </x:sheetData>
  <x:mergeCells>
    <x:mergeCell ref="A6:G6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8.83203125" defaultRowHeight="15"/>
  <x:cols>
    <x:col min="1" max="1" width="8" customWidth="1"/>
    <x:col min="2" max="2" width="24" customWidth="1"/>
    <x:col min="3" max="3" width="48" customWidth="1"/>
    <x:col min="4" max="4" width="32" customWidth="1"/>
    <x:col min="5" max="5" width="48" customWidth="1"/>
    <x:col min="6" max="6" width="16" customWidth="1"/>
  </x:cols>
  <x:sheetData>
    <x:row r="1" ht="37.25" customHeight="1">
      <x:c r="A1" s="80" t="s">
        <x:v>1184</x:v>
      </x:c>
      <x:c r="B1" s="80"/>
      <x:c r="C1" s="80"/>
      <x:c r="D1" s="80"/>
      <x:c r="E1" s="80"/>
      <x:c r="F1" s="80"/>
    </x:row>
    <x:row r="2">
      <x:c r="A2" s="81" t="s">
        <x:v>1185</x:v>
      </x:c>
      <x:c r="B2" s="81"/>
      <x:c r="C2" s="81"/>
      <x:c r="D2" s="81"/>
      <x:c r="E2" s="81"/>
      <x:c r="F2" s="81"/>
    </x:row>
    <x:row r="4" ht="16">
      <x:c r="A4" s="64" t="s">
        <x:v>1186</x:v>
      </x:c>
      <x:c r="B4" s="64" t="s">
        <x:v>1187</x:v>
      </x:c>
      <x:c r="C4" s="64" t="s">
        <x:v>1188</x:v>
      </x:c>
      <x:c r="D4" s="64" t="s">
        <x:v>1189</x:v>
      </x:c>
      <x:c r="E4" s="64" t="s">
        <x:v>965</x:v>
      </x:c>
      <x:c r="F4" s="64" t="s">
        <x:v>1190</x:v>
      </x:c>
    </x:row>
    <x:row r="5" ht="32">
      <x:c r="A5" s="4">
        <x:v>1</x:v>
      </x:c>
      <x:c r="B5" s="4" t="s">
        <x:v>1191</x:v>
      </x:c>
      <x:c r="C5" s="4" t="s">
        <x:v>1192</x:v>
      </x:c>
      <x:c r="D5" s="4" t="s">
        <x:v>3</x:v>
      </x:c>
      <x:c r="E5" s="4" t="s">
        <x:v>1193</x:v>
      </x:c>
      <x:c r="F5" s="4" t="s">
        <x:v>805</x:v>
      </x:c>
    </x:row>
    <x:row r="6" ht="48">
      <x:c r="A6" s="4">
        <x:v>2</x:v>
      </x:c>
      <x:c r="B6" s="4" t="s">
        <x:v>1194</x:v>
      </x:c>
      <x:c r="C6" s="4" t="s">
        <x:v>1195</x:v>
      </x:c>
      <x:c r="D6" s="4" t="s">
        <x:v>1196</x:v>
      </x:c>
      <x:c r="E6" s="4" t="s">
        <x:v>1197</x:v>
      </x:c>
      <x:c r="F6" s="4" t="s">
        <x:v>454</x:v>
      </x:c>
    </x:row>
    <x:row r="7" ht="32">
      <x:c r="A7" s="4">
        <x:v>3</x:v>
      </x:c>
      <x:c r="B7" s="4" t="s">
        <x:v>1198</x:v>
      </x:c>
      <x:c r="C7" s="4" t="s">
        <x:v>1199</x:v>
      </x:c>
      <x:c r="D7" s="4" t="s">
        <x:v>1200</x:v>
      </x:c>
      <x:c r="E7" s="4" t="s">
        <x:v>1201</x:v>
      </x:c>
      <x:c r="F7" s="4" t="s">
        <x:v>433</x:v>
      </x:c>
    </x:row>
    <x:row r="8" ht="32">
      <x:c r="A8" s="4">
        <x:v>4</x:v>
      </x:c>
      <x:c r="B8" s="4" t="s">
        <x:v>1202</x:v>
      </x:c>
      <x:c r="C8" s="4" t="s">
        <x:v>1203</x:v>
      </x:c>
      <x:c r="D8" s="4" t="s">
        <x:v>1204</x:v>
      </x:c>
      <x:c r="E8" s="4" t="s">
        <x:v>1205</x:v>
      </x:c>
      <x:c r="F8" s="4" t="s">
        <x:v>454</x:v>
      </x:c>
    </x:row>
    <x:row r="9" ht="32">
      <x:c r="A9" s="4">
        <x:v>5</x:v>
      </x:c>
      <x:c r="B9" s="4" t="s">
        <x:v>1206</x:v>
      </x:c>
      <x:c r="C9" s="4" t="s">
        <x:v>1207</x:v>
      </x:c>
      <x:c r="D9" s="4" t="s">
        <x:v>1208</x:v>
      </x:c>
      <x:c r="E9" s="4" t="s">
        <x:v>1209</x:v>
      </x:c>
      <x:c r="F9" s="4" t="s">
        <x:v>454</x:v>
      </x:c>
    </x:row>
    <x:row r="10" ht="32">
      <x:c r="A10" s="4">
        <x:v>6</x:v>
      </x:c>
      <x:c r="B10" s="4" t="s">
        <x:v>1210</x:v>
      </x:c>
      <x:c r="C10" s="4" t="s">
        <x:v>1211</x:v>
      </x:c>
      <x:c r="D10" s="4" t="s">
        <x:v>1212</x:v>
      </x:c>
      <x:c r="E10" s="4" t="s">
        <x:v>1213</x:v>
      </x:c>
      <x:c r="F10" s="4" t="s">
        <x:v>454</x:v>
      </x:c>
    </x:row>
    <x:row r="11" ht="32">
      <x:c r="A11" s="4">
        <x:v>7</x:v>
      </x:c>
      <x:c r="B11" s="4" t="s">
        <x:v>1214</x:v>
      </x:c>
      <x:c r="C11" s="4" t="s">
        <x:v>1215</x:v>
      </x:c>
      <x:c r="D11" s="4" t="s">
        <x:v>1216</x:v>
      </x:c>
      <x:c r="E11" s="4" t="s">
        <x:v>1217</x:v>
      </x:c>
      <x:c r="F11" s="4" t="s">
        <x:v>426</x:v>
      </x:c>
    </x:row>
    <x:row r="12" ht="32">
      <x:c r="A12" s="4">
        <x:v>8</x:v>
      </x:c>
      <x:c r="B12" s="4" t="s">
        <x:v>1218</x:v>
      </x:c>
      <x:c r="C12" s="4" t="s">
        <x:v>1219</x:v>
      </x:c>
      <x:c r="D12" s="4" t="s">
        <x:v>1220</x:v>
      </x:c>
      <x:c r="E12" s="4" t="s">
        <x:v>1221</x:v>
      </x:c>
      <x:c r="F12" s="4" t="s">
        <x:v>1222</x:v>
      </x:c>
    </x:row>
    <x:row r="14">
      <x:c r="A14" s="65" t="s">
        <x:v>1223</x:v>
      </x:c>
      <x:c r="B14" s="65"/>
      <x:c r="C14" s="65"/>
      <x:c r="D14" s="65"/>
      <x:c r="E14" s="65"/>
      <x:c r="F14" s="65"/>
    </x:row>
    <x:row r="15">
      <x:c r="A15" s="82" t="s">
        <x:v>1224</x:v>
      </x:c>
      <x:c r="B15" s="82"/>
      <x:c r="C15" s="82"/>
      <x:c r="D15" s="82"/>
      <x:c r="E15" s="82"/>
      <x:c r="F15" s="82"/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3" width="18" customWidth="1"/>
    <x:col min="4" max="4" width="36" customWidth="1"/>
    <x:col min="5" max="5" width="54" customWidth="1"/>
    <x:col min="6" max="6" width="30" customWidth="1"/>
    <x:col min="7" max="7" width="24" customWidth="1"/>
  </x:cols>
  <x:sheetData>
    <x:row r="1" ht="16">
      <x:c r="A1" s="66" t="s">
        <x:v>1225</x:v>
      </x:c>
      <x:c r="B1" s="66" t="s">
        <x:v>6</x:v>
      </x:c>
      <x:c r="C1" s="66" t="s">
        <x:v>1226</x:v>
      </x:c>
      <x:c r="D1" s="66" t="s">
        <x:v>1227</x:v>
      </x:c>
      <x:c r="E1" s="66" t="s">
        <x:v>963</x:v>
      </x:c>
      <x:c r="F1" s="66" t="s">
        <x:v>1228</x:v>
      </x:c>
      <x:c r="G1" s="66" t="s">
        <x:v>1229</x:v>
      </x:c>
    </x:row>
    <x:row r="2" ht="16">
      <x:c r="A2" s="4" t="s">
        <x:v>10</x:v>
      </x:c>
      <x:c r="B2" s="67" t="n">
        <x:f>Dashboard!B5</x:f>
        <x:v>3015</x:v>
      </x:c>
      <x:c r="C2" s="4" t="s">
        <x:v>1230</x:v>
      </x:c>
      <x:c r="D2" s="4" t="s">
        <x:v>1231</x:v>
      </x:c>
      <x:c r="E2" s="4" t="s">
        <x:v>1232</x:v>
      </x:c>
      <x:c r="F2" s="4" t="s">
        <x:v>1233</x:v>
      </x:c>
      <x:c r="G2" s="4" t="s">
        <x:v>1234</x:v>
      </x:c>
    </x:row>
    <x:row r="3" ht="16">
      <x:c r="A3" s="4" t="s">
        <x:v>1235</x:v>
      </x:c>
      <x:c r="B3" s="11" t="n">
        <x:f>Dashboard!B9</x:f>
        <x:v>1.1</x:v>
      </x:c>
      <x:c r="C3" s="4" t="s">
        <x:v>1236</x:v>
      </x:c>
      <x:c r="D3" s="4" t="s">
        <x:v>1237</x:v>
      </x:c>
      <x:c r="E3" s="4" t="s">
        <x:v>1238</x:v>
      </x:c>
      <x:c r="F3" s="4" t="s">
        <x:v>1233</x:v>
      </x:c>
      <x:c r="G3" s="4" t="s">
        <x:v>1239</x:v>
      </x:c>
    </x:row>
    <x:row r="4" ht="16">
      <x:c r="A4" s="4" t="s">
        <x:v>1240</x:v>
      </x:c>
      <x:c r="B4" s="68" t="n">
        <x:f>Dashboard!B10</x:f>
        <x:v>8</x:v>
      </x:c>
      <x:c r="C4" s="4" t="s">
        <x:v>1236</x:v>
      </x:c>
      <x:c r="D4" s="4" t="s">
        <x:v>1241</x:v>
      </x:c>
      <x:c r="E4" s="4" t="s">
        <x:v>1242</x:v>
      </x:c>
      <x:c r="F4" s="4" t="s">
        <x:v>1233</x:v>
      </x:c>
      <x:c r="G4" s="4" t="s">
        <x:v>1239</x:v>
      </x:c>
    </x:row>
    <x:row r="5" ht="32">
      <x:c r="A5" s="4" t="s">
        <x:v>1243</x:v>
      </x:c>
      <x:c r="B5" s="68" t="n">
        <x:f>Dashboard!E14</x:f>
        <x:v>5</x:v>
      </x:c>
      <x:c r="C5" s="4" t="s">
        <x:v>1244</x:v>
      </x:c>
      <x:c r="D5" s="4" t="s">
        <x:v>1245</x:v>
      </x:c>
      <x:c r="E5" s="4" t="s">
        <x:v>1246</x:v>
      </x:c>
      <x:c r="F5" s="4" t="s">
        <x:v>1247</x:v>
      </x:c>
      <x:c r="G5" s="4" t="s">
        <x:v>1248</x:v>
      </x:c>
    </x:row>
    <x:row r="6" ht="16">
      <x:c r="A6" s="4" t="s">
        <x:v>11</x:v>
      </x:c>
      <x:c r="B6" s="12" t="n">
        <x:f>Assumptions!C2</x:f>
        <x:v>21</x:v>
      </x:c>
      <x:c r="C6" s="4" t="s">
        <x:v>244</x:v>
      </x:c>
      <x:c r="D6" s="4" t="s">
        <x:v>1194</x:v>
      </x:c>
      <x:c r="E6" s="4" t="s">
        <x:v>1249</x:v>
      </x:c>
      <x:c r="F6" s="4" t="s">
        <x:v>1250</x:v>
      </x:c>
      <x:c r="G6" s="4" t="s">
        <x:v>244</x:v>
      </x:c>
    </x:row>
    <x:row r="7" ht="16">
      <x:c r="A7" s="4" t="s">
        <x:v>247</x:v>
      </x:c>
      <x:c r="B7" s="12" t="n">
        <x:f>Assumptions!C3</x:f>
        <x:v>2</x:v>
      </x:c>
      <x:c r="C7" s="4" t="s">
        <x:v>244</x:v>
      </x:c>
      <x:c r="D7" s="4" t="s">
        <x:v>1194</x:v>
      </x:c>
      <x:c r="E7" s="4" t="s">
        <x:v>249</x:v>
      </x:c>
      <x:c r="F7" s="4" t="s">
        <x:v>1250</x:v>
      </x:c>
      <x:c r="G7" s="4" t="s">
        <x:v>244</x:v>
      </x:c>
    </x:row>
    <x:row r="8" ht="16">
      <x:c r="A8" s="4" t="s">
        <x:v>1251</x:v>
      </x:c>
      <x:c r="B8" s="12" t="n">
        <x:f>Assumptions!C5</x:f>
        <x:v>35</x:v>
      </x:c>
      <x:c r="C8" s="4" t="s">
        <x:v>244</x:v>
      </x:c>
      <x:c r="D8" s="4" t="s">
        <x:v>1194</x:v>
      </x:c>
      <x:c r="E8" s="4" t="s">
        <x:v>1252</x:v>
      </x:c>
      <x:c r="F8" s="4" t="s">
        <x:v>1250</x:v>
      </x:c>
      <x:c r="G8" s="4" t="s">
        <x:v>244</x:v>
      </x:c>
    </x:row>
    <x:row r="9" ht="16">
      <x:c r="A9" s="4" t="s">
        <x:v>1253</x:v>
      </x:c>
      <x:c r="B9" s="12" t="n">
        <x:f>Assumptions!C6</x:f>
        <x:v>25</x:v>
      </x:c>
      <x:c r="C9" s="4" t="s">
        <x:v>244</x:v>
      </x:c>
      <x:c r="D9" s="4" t="s">
        <x:v>1194</x:v>
      </x:c>
      <x:c r="E9" s="4" t="s">
        <x:v>1254</x:v>
      </x:c>
      <x:c r="F9" s="4" t="s">
        <x:v>1250</x:v>
      </x:c>
      <x:c r="G9" s="4" t="s">
        <x:v>244</x:v>
      </x:c>
    </x:row>
    <x:row r="10" ht="16">
      <x:c r="A10" s="4" t="s">
        <x:v>1255</x:v>
      </x:c>
      <x:c r="B10" s="12" t="n">
        <x:f>Assumptions!C7</x:f>
        <x:v>3</x:v>
      </x:c>
      <x:c r="C10" s="4" t="s">
        <x:v>244</x:v>
      </x:c>
      <x:c r="D10" s="4" t="s">
        <x:v>1194</x:v>
      </x:c>
      <x:c r="E10" s="4" t="s">
        <x:v>1256</x:v>
      </x:c>
      <x:c r="F10" s="4" t="s">
        <x:v>1250</x:v>
      </x:c>
      <x:c r="G10" s="4" t="s">
        <x:v>244</x:v>
      </x:c>
    </x:row>
    <x:row r="11" ht="16">
      <x:c r="A11" s="4" t="s">
        <x:v>1158</x:v>
      </x:c>
      <x:c r="B11" s="67" t="n">
        <x:f>Assumptions!C16</x:f>
        <x:v>275</x:v>
      </x:c>
      <x:c r="C11" s="4" t="s">
        <x:v>244</x:v>
      </x:c>
      <x:c r="D11" s="4" t="s">
        <x:v>1257</x:v>
      </x:c>
      <x:c r="E11" s="4" t="s">
        <x:v>1258</x:v>
      </x:c>
      <x:c r="F11" s="4" t="s">
        <x:v>1250</x:v>
      </x:c>
      <x:c r="G11" s="4" t="s">
        <x:v>244</x:v>
      </x:c>
    </x:row>
    <x:row r="12" ht="32">
      <x:c r="A12" s="4" t="s">
        <x:v>15</x:v>
      </x:c>
      <x:c r="B12" s="40" t="n">
        <x:f>Dashboard!H6</x:f>
        <x:v>21</x:v>
      </x:c>
      <x:c r="C12" s="4" t="s">
        <x:v>983</x:v>
      </x:c>
      <x:c r="D12" s="4" t="s">
        <x:v>1259</x:v>
      </x:c>
      <x:c r="E12" s="4" t="s">
        <x:v>1260</x:v>
      </x:c>
      <x:c r="F12" s="4" t="s">
        <x:v>1261</x:v>
      </x:c>
      <x:c r="G12" s="4" t="s">
        <x:v>1262</x:v>
      </x:c>
    </x:row>
    <x:row r="13" ht="16">
      <x:c r="A13" s="4" t="s">
        <x:v>9</x:v>
      </x:c>
      <x:c r="B13" s="12" t="n">
        <x:f>Dashboard!H4</x:f>
        <x:v>6.35</x:v>
      </x:c>
      <x:c r="C13" s="4" t="s">
        <x:v>983</x:v>
      </x:c>
      <x:c r="D13" s="4" t="s">
        <x:v>1259</x:v>
      </x:c>
      <x:c r="E13" s="4" t="s">
        <x:v>1263</x:v>
      </x:c>
      <x:c r="F13" s="4" t="s">
        <x:v>1250</x:v>
      </x:c>
      <x:c r="G13" s="4" t="s">
        <x:v>1262</x:v>
      </x:c>
    </x:row>
    <x:row r="14" ht="32">
      <x:c r="A14" s="4" t="s">
        <x:v>1264</x:v>
      </x:c>
      <x:c r="B14" s="12" t="n">
        <x:f>Dashboard!H7</x:f>
        <x:v>279.28</x:v>
      </x:c>
      <x:c r="C14" s="4" t="s">
        <x:v>983</x:v>
      </x:c>
      <x:c r="D14" s="4" t="s">
        <x:v>1265</x:v>
      </x:c>
      <x:c r="E14" s="4" t="s">
        <x:v>1266</x:v>
      </x:c>
      <x:c r="F14" s="4" t="s">
        <x:v>1250</x:v>
      </x:c>
      <x:c r="G14" s="4" t="s">
        <x:v>1262</x:v>
      </x:c>
    </x:row>
    <x:row r="15" ht="16">
      <x:c r="A15" s="4" t="s">
        <x:v>1267</x:v>
      </x:c>
      <x:c r="B15" s="12" t="n">
        <x:f>Dashboard!H8</x:f>
        <x:v>29.76</x:v>
      </x:c>
      <x:c r="C15" s="4" t="s">
        <x:v>983</x:v>
      </x:c>
      <x:c r="D15" s="4" t="s">
        <x:v>1265</x:v>
      </x:c>
      <x:c r="E15" s="4" t="s">
        <x:v>1268</x:v>
      </x:c>
      <x:c r="F15" s="4" t="s">
        <x:v>1269</x:v>
      </x:c>
      <x:c r="G15" s="4" t="s">
        <x:v>1262</x:v>
      </x:c>
    </x:row>
    <x:row r="16" ht="32">
      <x:c r="A16" s="4" t="s">
        <x:v>27</x:v>
      </x:c>
      <x:c r="B16" s="12" t="n">
        <x:f>Dashboard!H10</x:f>
        <x:v>16874.43</x:v>
      </x:c>
      <x:c r="C16" s="4" t="s">
        <x:v>983</x:v>
      </x:c>
      <x:c r="D16" s="4" t="s">
        <x:v>1270</x:v>
      </x:c>
      <x:c r="E16" s="4" t="s">
        <x:v>1271</x:v>
      </x:c>
      <x:c r="F16" s="4" t="s">
        <x:v>1272</x:v>
      </x:c>
      <x:c r="G16" s="4" t="s">
        <x:v>1262</x:v>
      </x:c>
    </x:row>
    <x:row r="18">
      <x:c r="A18" s="63" t="s">
        <x:v>1273</x:v>
      </x:c>
      <x:c r="B18" s="63"/>
      <x:c r="C18" s="63"/>
      <x:c r="D18" s="63"/>
      <x:c r="E18" s="63"/>
      <x:c r="F18" s="63"/>
      <x:c r="G18" s="63"/>
    </x:row>
    <x:row r="19">
      <x:c r="A19" s="83" t="s">
        <x:v>1274</x:v>
      </x:c>
      <x:c r="B19" s="83"/>
      <x:c r="C19" s="83"/>
      <x:c r="D19" s="83"/>
      <x:c r="E19" s="83"/>
      <x:c r="F19" s="83"/>
      <x:c r="G19" s="83"/>
    </x:row>
  </x:sheetData>
  <x:mergeCells>
    <x:mergeCell ref="A19:G19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8.83203125" defaultRowHeight="15"/>
  <x:cols>
    <x:col min="1" max="10" width="15" customWidth="1"/>
  </x:cols>
  <x:sheetData>
    <x:row r="1" ht="37.25" customHeight="1">
      <x:c r="A1" s="80" t="s">
        <x:v>1275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3">
      <x:c r="A3" s="84" t="s">
        <x:v>1276</x:v>
      </x:c>
      <x:c r="B3" s="84"/>
      <x:c r="C3" s="84" t="s">
        <x:v>1277</x:v>
      </x:c>
      <x:c r="D3" s="84"/>
      <x:c r="E3" s="84" t="s">
        <x:v>1278</x:v>
      </x:c>
      <x:c r="F3" s="84"/>
      <x:c r="G3" s="84" t="s">
        <x:v>1279</x:v>
      </x:c>
      <x:c r="H3" s="84"/>
      <x:c r="I3" s="84" t="s">
        <x:v>1280</x:v>
      </x:c>
      <x:c r="J3" s="84"/>
    </x:row>
    <x:row r="4">
      <x:c r="A4" s="85" t="s">
        <x:v>1281</x:v>
      </x:c>
      <x:c r="B4" s="85"/>
      <x:c r="C4" s="85" t="s">
        <x:v>1282</x:v>
      </x:c>
      <x:c r="D4" s="85"/>
      <x:c r="E4" s="85" t="s">
        <x:v>1283</x:v>
      </x:c>
      <x:c r="F4" s="85"/>
      <x:c r="G4" s="85" t="s">
        <x:v>1284</x:v>
      </x:c>
      <x:c r="H4" s="85"/>
      <x:c r="I4" s="85" t="s">
        <x:v>1285</x:v>
      </x:c>
      <x:c r="J4" s="85"/>
    </x:row>
    <x:row r="5">
      <x:c r="A5" s="85"/>
      <x:c r="B5" s="85"/>
      <x:c r="C5" s="85"/>
      <x:c r="D5" s="85"/>
      <x:c r="E5" s="85"/>
      <x:c r="F5" s="85"/>
      <x:c r="G5" s="85"/>
      <x:c r="H5" s="85"/>
      <x:c r="I5" s="85"/>
      <x:c r="J5" s="85"/>
    </x:row>
    <x:row r="6">
      <x:c r="A6" s="85"/>
      <x:c r="B6" s="85"/>
      <x:c r="C6" s="85"/>
      <x:c r="D6" s="85"/>
      <x:c r="E6" s="85"/>
      <x:c r="F6" s="85"/>
      <x:c r="G6" s="85"/>
      <x:c r="H6" s="85"/>
      <x:c r="I6" s="85"/>
      <x:c r="J6" s="85"/>
    </x:row>
    <x:row r="7">
      <x:c r="A7" s="85"/>
      <x:c r="B7" s="85"/>
      <x:c r="C7" s="85"/>
      <x:c r="D7" s="85"/>
      <x:c r="E7" s="85"/>
      <x:c r="F7" s="85"/>
      <x:c r="G7" s="85"/>
      <x:c r="H7" s="85"/>
      <x:c r="I7" s="85"/>
      <x:c r="J7" s="85"/>
    </x:row>
    <x:row r="8">
      <x:c r="A8" s="85"/>
      <x:c r="B8" s="85"/>
      <x:c r="C8" s="85"/>
      <x:c r="D8" s="85"/>
      <x:c r="E8" s="85"/>
      <x:c r="F8" s="85"/>
      <x:c r="G8" s="85"/>
      <x:c r="H8" s="85"/>
      <x:c r="I8" s="85"/>
      <x:c r="J8" s="85"/>
    </x:row>
    <x:row r="9">
      <x:c r="A9" s="85"/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A10" s="85"/>
      <x:c r="B10" s="85"/>
      <x:c r="C10" s="85"/>
      <x:c r="D10" s="85"/>
      <x:c r="E10" s="85"/>
      <x:c r="F10" s="85"/>
      <x:c r="G10" s="85"/>
      <x:c r="H10" s="85"/>
      <x:c r="I10" s="85"/>
      <x:c r="J10" s="85"/>
    </x:row>
    <x:row r="12">
      <x:c r="A12" s="84" t="s">
        <x:v>1286</x:v>
      </x:c>
      <x:c r="B12" s="84"/>
      <x:c r="C12" s="84"/>
      <x:c r="D12" s="84" t="s">
        <x:v>1287</x:v>
      </x:c>
      <x:c r="E12" s="84"/>
      <x:c r="F12" s="84"/>
      <x:c r="G12" s="84" t="s">
        <x:v>1288</x:v>
      </x:c>
      <x:c r="H12" s="84"/>
      <x:c r="I12" s="84" t="s">
        <x:v>1289</x:v>
      </x:c>
      <x:c r="J12" s="84"/>
    </x:row>
    <x:row r="13">
      <x:c r="A13" s="85" t="s">
        <x:v>1290</x:v>
      </x:c>
      <x:c r="B13" s="85"/>
      <x:c r="C13" s="85"/>
      <x:c r="D13" s="85" t="s">
        <x:v>1291</x:v>
      </x:c>
      <x:c r="E13" s="85"/>
      <x:c r="F13" s="85"/>
      <x:c r="G13" s="85" t="s">
        <x:v>1292</x:v>
      </x:c>
      <x:c r="H13" s="85"/>
      <x:c r="I13" s="85" t="s">
        <x:v>1293</x:v>
      </x:c>
      <x:c r="J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</x:row>
    <x:row r="20">
      <x:c r="A20" s="86" t="s">
        <x:v>1294</x:v>
      </x:c>
      <x:c r="B20" s="86"/>
      <x:c r="C20" s="86"/>
      <x:c r="D20" s="86"/>
      <x:c r="E20" s="86"/>
      <x:c r="F20" s="86"/>
      <x:c r="G20" s="86"/>
      <x:c r="H20" s="86"/>
      <x:c r="I20" s="86"/>
      <x:c r="J20" s="86"/>
    </x:row>
  </x:sheetData>
  <x:mergeCells>
    <x:mergeCell ref="I12:J12"/>
    <x:mergeCell ref="I13:J18"/>
    <x:mergeCell ref="A20:J20"/>
    <x:mergeCell ref="A12:C12"/>
    <x:mergeCell ref="A13:C18"/>
    <x:mergeCell ref="D12:F12"/>
    <x:mergeCell ref="D13:F18"/>
    <x:mergeCell ref="G12:H12"/>
    <x:mergeCell ref="G13:H18"/>
    <x:mergeCell ref="A1:J1"/>
    <x:mergeCell ref="A3:B3"/>
    <x:mergeCell ref="A4:B10"/>
    <x:mergeCell ref="C3:D3"/>
    <x:mergeCell ref="C4:D10"/>
    <x:mergeCell ref="E3:F3"/>
    <x:mergeCell ref="E4:F10"/>
    <x:mergeCell ref="G3:H3"/>
    <x:mergeCell ref="G4:H10"/>
    <x:mergeCell ref="I3:J3"/>
    <x:mergeCell ref="I4:J10"/>
  </x:mergeCells>
  <x:pageMargins left="0.7" right="0.7" top="0.75" bottom="0.75" header="0.3" footer="0.3"/>
</x:worksheet>
</file>